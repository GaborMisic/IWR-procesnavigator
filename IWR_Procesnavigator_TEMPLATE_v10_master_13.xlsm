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i\Downloads\"/>
    </mc:Choice>
  </mc:AlternateContent>
  <xr:revisionPtr revIDLastSave="0" documentId="13_ncr:1_{B27A60AD-2C6B-4E5F-BCAA-04BBF544F9BF}" xr6:coauthVersionLast="47" xr6:coauthVersionMax="47" xr10:uidLastSave="{00000000-0000-0000-0000-000000000000}"/>
  <bookViews>
    <workbookView xWindow="-108" yWindow="-108" windowWidth="23256" windowHeight="13896" tabRatio="500" firstSheet="5" activeTab="6" xr2:uid="{00000000-000D-0000-FFFF-FFFF00000000}"/>
  </bookViews>
  <sheets>
    <sheet name="Start_Hier" sheetId="1" r:id="rId1"/>
    <sheet name="_Lijsten" sheetId="2" state="hidden" r:id="rId2"/>
    <sheet name="Normtijden_Config" sheetId="3" r:id="rId3"/>
    <sheet name="_Keuzes" sheetId="4" state="hidden" r:id="rId4"/>
    <sheet name="Route_Variant_Offsets" sheetId="5" r:id="rId5"/>
    <sheet name="Projecten" sheetId="6" r:id="rId6"/>
    <sheet name="Dashboard_Engineer" sheetId="7" r:id="rId7"/>
    <sheet name="Vertragingen_Showstoppers" sheetId="8" r:id="rId8"/>
    <sheet name="Projectoverzicht" sheetId="9" r:id="rId9"/>
    <sheet name="Sleuteldata" sheetId="10" r:id="rId10"/>
    <sheet name="Procesregister" sheetId="11" r:id="rId11"/>
    <sheet name="Help" sheetId="12" r:id="rId12"/>
  </sheets>
  <definedNames>
    <definedName name="_xlnm._FilterDatabase" localSheetId="6" hidden="1">Dashboard_Engineer!$A$3:$AF$200</definedName>
    <definedName name="dash_Actiepunt">Dashboard_Engineer!$Y$4:$Y$200</definedName>
    <definedName name="dash_Buffer_Wd">Dashboard_Engineer!$L$4:$L$200</definedName>
    <definedName name="dash_Datum_Uitgezet">Dashboard_Engineer!$Q$4:$Q$200</definedName>
    <definedName name="dash_Eigenaar">Dashboard_Engineer!$O$4:$O$200</definedName>
    <definedName name="dash_Geimpliceerde_GSU">Dashboard_Engineer!$V$4:$V$200</definedName>
    <definedName name="dash_GSU_Datum">Dashboard_Engineer!$C$4:$C$200</definedName>
    <definedName name="dash_GSU_Kritisch">Dashboard_Engineer!$M$4:$M$200</definedName>
    <definedName name="dash_Hoofdcategorie">Dashboard_Engineer!$F$4:$F$200</definedName>
    <definedName name="dash_ItemID">Dashboard_Engineer!$I$4:$I$200</definedName>
    <definedName name="dash_Norm_Doorlooptijd_Wd">Dashboard_Engineer!$J$4:$J$200</definedName>
    <definedName name="dash_Oorzaak_Toelichting">Dashboard_Engineer!$AD$4:$AD$200</definedName>
    <definedName name="dash_Oorzaakcode">Dashboard_Engineer!$AC$4:$AC$200</definedName>
    <definedName name="dash_ProjectID">Dashboard_Engineer!$A$4:$A$200</definedName>
    <definedName name="dash_Projectnaam">Dashboard_Engineer!$B$4:$B$200</definedName>
    <definedName name="dash_Resterende_Wd">Dashboard_Engineer!$W$4:$W$200</definedName>
    <definedName name="dash_Showstopper_Fase">Dashboard_Engineer!$AA$4:$AA$200</definedName>
    <definedName name="dash_Showstopper_GSU">Dashboard_Engineer!$Z$4:$Z$200</definedName>
    <definedName name="dash_Status">Dashboard_Engineer!$P$4:$P$200</definedName>
    <definedName name="dash_Stoplicht">Dashboard_Engineer!$AB$4:$AB$200</definedName>
    <definedName name="dash_Subcategorie">Dashboard_Engineer!$G$4:$G$200</definedName>
    <definedName name="dash_Type">Dashboard_Engineer!$H$4:$H$200</definedName>
    <definedName name="dash_Uiterlijke_Uitzetdatum">Dashboard_Engineer!$T$4:$T$200</definedName>
    <definedName name="dash_Vereiste_Gereed_Datum">Dashboard_Engineer!$S$4:$S$200</definedName>
    <definedName name="dash_Verwacht_Gereed_Datum">Dashboard_Engineer!$U$4:$U$200</definedName>
    <definedName name="lst_Eigenaren">_Lijsten!$F$2:$F$11</definedName>
    <definedName name="lst_Fasen">_Lijsten!$G$2:$G$6</definedName>
    <definedName name="lst_Hoofdcategorie">_Lijsten!$D$2:$D$9</definedName>
    <definedName name="lst_Oorzaken">_Lijsten!$E$2:$E$19</definedName>
    <definedName name="lst_Routes">_Lijsten!$B$2:$B$4</definedName>
    <definedName name="lst_Status">_Lijsten!$A$2:$A$7</definedName>
    <definedName name="lst_Varianten">_Lijsten!$C$2:$C$3</definedName>
    <definedName name="Subs_A">_Keuzes!$I$2:$I$4</definedName>
    <definedName name="Subs_B">_Keuzes!$J$2:$J$2</definedName>
    <definedName name="Subs_C">_Keuzes!$K$2:$K$4</definedName>
    <definedName name="Subs_D">_Keuzes!$L$2:$L$6</definedName>
    <definedName name="Subs_E">_Keuzes!$M$2:$M$2</definedName>
    <definedName name="Subs_F">_Keuzes!$N$2:$N$2</definedName>
    <definedName name="Subs_G">_Keuzes!$O$2:$O$5</definedName>
    <definedName name="Subs_H">_Keuzes!$P$2:$P$11</definedName>
    <definedName name="tbl_Keuzes_HcatCode">_Keuzes!$A$2:$A$53</definedName>
    <definedName name="tbl_Keuzes_ItemID">_Keuzes!$E$2:$E$53</definedName>
    <definedName name="tbl_Keuzes_Key">_Keuzes!$H$2:$H$53</definedName>
    <definedName name="tbl_Keuzes_SubCode">_Keuzes!$C$2:$C$53</definedName>
    <definedName name="tbl_Keuzes_SubName">_Keuzes!$B$2:$B$53</definedName>
    <definedName name="tbl_Keuzes_Type">_Keuzes!$D$2:$D$53</definedName>
    <definedName name="tbl_Norm_ItemID">Normtijden_Config!$A$4:$A$55</definedName>
    <definedName name="tbl_Offsets_Key">Route_Variant_Offsets!$G$4:$G$75</definedName>
    <definedName name="tbl_Offsets_Wd">Route_Variant_Offsets!$E$4:$E$75</definedName>
    <definedName name="tbl_Offsets_Wkn">Route_Variant_Offsets!$D$4:$D$75</definedName>
    <definedName name="tbl_Proj_GSU">Projecten!$E$4:$E$200</definedName>
    <definedName name="tbl_Proj_ID">Projecten!$A$4:$A$200</definedName>
    <definedName name="tbl_Proj_Naam">Projecten!$B$4:$B$200</definedName>
    <definedName name="tbl_Proj_Rt">Projecten!$F$4:$F$200</definedName>
    <definedName name="tbl_Proj_Vt">Projecten!$G$4:$G$200</definedName>
    <definedName name="Types_A_Aanvullend">_Keuzes!$R$2:$R$5</definedName>
    <definedName name="Types_A_Quickscan">_Keuzes!$S$2:$S$2</definedName>
    <definedName name="Types_A_Vervolgonderzoek">_Keuzes!$T$2:$T$9</definedName>
    <definedName name="Types_B_Algemeen">_Keuzes!$U$2:$U$6</definedName>
    <definedName name="Types_C_Algemeen">_Keuzes!$V$2:$V$4</definedName>
    <definedName name="Types_C_Fase_gate">_Keuzes!$W$2:$W$4</definedName>
    <definedName name="Types_C_Fase_gate_OidK">_Keuzes!$X$2:$X$3</definedName>
    <definedName name="Types_D_Engineering">_Keuzes!$Y$2:$Y$2</definedName>
    <definedName name="Types_D_Haalbaarheid">_Keuzes!$Z$2:$Z$2</definedName>
    <definedName name="Types_D_Plan">_Keuzes!$AA$2:$AA$2</definedName>
    <definedName name="Types_D_Sondering">_Keuzes!$AB$2:$AB$2</definedName>
    <definedName name="Types_D_Vergunning">_Keuzes!$AC$2:$AC$3</definedName>
    <definedName name="Types_E_Algemeen">_Keuzes!$AD$2:$AD$2</definedName>
    <definedName name="Types_F_Algemeen">_Keuzes!$AE$2:$AE$2</definedName>
    <definedName name="Types_G_Datum">_Keuzes!$AF$2:$AF$2</definedName>
    <definedName name="Types_G_Plannen">_Keuzes!$AG$2:$AG$2</definedName>
    <definedName name="Types_G_Verslag">_Keuzes!$AH$2:$AH$2</definedName>
    <definedName name="Types_G_Verwerkt">_Keuzes!$AI$2:$AI$2</definedName>
    <definedName name="Types_H_Begroting">_Keuzes!$AJ$2:$AJ$2</definedName>
    <definedName name="Types_H_DO">_Keuzes!$AK$2:$AK$2</definedName>
    <definedName name="Types_H_DO_dossier">_Keuzes!$AL$2:$AL$4</definedName>
    <definedName name="Types_H_Kick_off">_Keuzes!$AM$2:$AM$2</definedName>
    <definedName name="Types_H_Materiaal">_Keuzes!$AO$2:$AO$2</definedName>
    <definedName name="Types_H_MBB">_Keuzes!$AN$2:$AN$2</definedName>
    <definedName name="Types_H_Startwerk">_Keuzes!$AP$2:$AP$2</definedName>
    <definedName name="Types_H_Toetsmoment">_Keuzes!$AQ$2:$AQ$3</definedName>
    <definedName name="Types_H_VO">_Keuzes!$AR$2:$AR$2</definedName>
    <definedName name="Types_H_Warme_overdracht">_Keuzes!$AS$2:$AS$3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0" l="1"/>
  <c r="F21" i="10" s="1"/>
  <c r="B5" i="10"/>
  <c r="B4" i="10"/>
  <c r="F50" i="9" a="1"/>
  <c r="F50" i="9" s="1"/>
  <c r="G50" i="9" s="1"/>
  <c r="E50" i="9"/>
  <c r="D50" i="9"/>
  <c r="C50" i="9"/>
  <c r="B50" i="9"/>
  <c r="A50" i="9"/>
  <c r="L50" i="9" s="1"/>
  <c r="E49" i="9"/>
  <c r="D49" i="9"/>
  <c r="C49" i="9"/>
  <c r="B49" i="9"/>
  <c r="A49" i="9"/>
  <c r="F48" i="9" a="1"/>
  <c r="F48" i="9" s="1"/>
  <c r="G48" i="9" s="1"/>
  <c r="E48" i="9"/>
  <c r="D48" i="9"/>
  <c r="C48" i="9"/>
  <c r="B48" i="9"/>
  <c r="A48" i="9"/>
  <c r="L48" i="9" s="1"/>
  <c r="E47" i="9"/>
  <c r="D47" i="9"/>
  <c r="C47" i="9"/>
  <c r="B47" i="9"/>
  <c r="A47" i="9"/>
  <c r="F46" i="9" a="1"/>
  <c r="F46" i="9" s="1"/>
  <c r="G46" i="9" s="1"/>
  <c r="E46" i="9"/>
  <c r="D46" i="9"/>
  <c r="C46" i="9"/>
  <c r="B46" i="9"/>
  <c r="A46" i="9"/>
  <c r="L46" i="9" s="1"/>
  <c r="E45" i="9"/>
  <c r="D45" i="9"/>
  <c r="C45" i="9"/>
  <c r="B45" i="9"/>
  <c r="A45" i="9"/>
  <c r="F44" i="9" a="1"/>
  <c r="F44" i="9" s="1"/>
  <c r="G44" i="9" s="1"/>
  <c r="E44" i="9"/>
  <c r="D44" i="9"/>
  <c r="C44" i="9"/>
  <c r="B44" i="9"/>
  <c r="A44" i="9"/>
  <c r="L44" i="9" s="1"/>
  <c r="E43" i="9"/>
  <c r="D43" i="9"/>
  <c r="C43" i="9"/>
  <c r="B43" i="9"/>
  <c r="A43" i="9"/>
  <c r="F42" i="9" a="1"/>
  <c r="F42" i="9" s="1"/>
  <c r="G42" i="9" s="1"/>
  <c r="E42" i="9"/>
  <c r="D42" i="9"/>
  <c r="C42" i="9"/>
  <c r="B42" i="9"/>
  <c r="A42" i="9"/>
  <c r="L42" i="9" s="1"/>
  <c r="E41" i="9"/>
  <c r="D41" i="9"/>
  <c r="C41" i="9"/>
  <c r="B41" i="9"/>
  <c r="A41" i="9"/>
  <c r="F40" i="9" a="1"/>
  <c r="F40" i="9" s="1"/>
  <c r="G40" i="9" s="1"/>
  <c r="E40" i="9"/>
  <c r="D40" i="9"/>
  <c r="C40" i="9"/>
  <c r="B40" i="9"/>
  <c r="A40" i="9"/>
  <c r="L40" i="9" s="1"/>
  <c r="E39" i="9"/>
  <c r="D39" i="9"/>
  <c r="C39" i="9"/>
  <c r="B39" i="9"/>
  <c r="A39" i="9"/>
  <c r="F38" i="9" a="1"/>
  <c r="F38" i="9" s="1"/>
  <c r="G38" i="9" s="1"/>
  <c r="E38" i="9"/>
  <c r="D38" i="9"/>
  <c r="C38" i="9"/>
  <c r="B38" i="9"/>
  <c r="A38" i="9"/>
  <c r="L38" i="9" s="1"/>
  <c r="E37" i="9"/>
  <c r="D37" i="9"/>
  <c r="C37" i="9"/>
  <c r="B37" i="9"/>
  <c r="A37" i="9"/>
  <c r="F36" i="9" a="1"/>
  <c r="F36" i="9" s="1"/>
  <c r="G36" i="9" s="1"/>
  <c r="E36" i="9"/>
  <c r="D36" i="9"/>
  <c r="C36" i="9"/>
  <c r="B36" i="9"/>
  <c r="A36" i="9"/>
  <c r="L36" i="9" s="1"/>
  <c r="E35" i="9"/>
  <c r="D35" i="9"/>
  <c r="C35" i="9"/>
  <c r="B35" i="9"/>
  <c r="A35" i="9"/>
  <c r="F34" i="9" a="1"/>
  <c r="F34" i="9" s="1"/>
  <c r="G34" i="9" s="1"/>
  <c r="E34" i="9"/>
  <c r="D34" i="9"/>
  <c r="C34" i="9"/>
  <c r="B34" i="9"/>
  <c r="A34" i="9"/>
  <c r="L34" i="9" s="1"/>
  <c r="E33" i="9"/>
  <c r="D33" i="9"/>
  <c r="C33" i="9"/>
  <c r="B33" i="9"/>
  <c r="A33" i="9"/>
  <c r="F32" i="9" a="1"/>
  <c r="F32" i="9" s="1"/>
  <c r="G32" i="9" s="1"/>
  <c r="E32" i="9"/>
  <c r="D32" i="9"/>
  <c r="C32" i="9"/>
  <c r="B32" i="9"/>
  <c r="A32" i="9"/>
  <c r="L32" i="9" s="1"/>
  <c r="E31" i="9"/>
  <c r="D31" i="9"/>
  <c r="C31" i="9"/>
  <c r="B31" i="9"/>
  <c r="A31" i="9"/>
  <c r="F30" i="9" a="1"/>
  <c r="F30" i="9" s="1"/>
  <c r="G30" i="9" s="1"/>
  <c r="E30" i="9"/>
  <c r="D30" i="9"/>
  <c r="C30" i="9"/>
  <c r="B30" i="9"/>
  <c r="A30" i="9"/>
  <c r="L30" i="9" s="1"/>
  <c r="E29" i="9"/>
  <c r="D29" i="9"/>
  <c r="C29" i="9"/>
  <c r="B29" i="9"/>
  <c r="A29" i="9"/>
  <c r="F28" i="9" a="1"/>
  <c r="F28" i="9" s="1"/>
  <c r="G28" i="9" s="1"/>
  <c r="E28" i="9"/>
  <c r="D28" i="9"/>
  <c r="C28" i="9"/>
  <c r="B28" i="9"/>
  <c r="A28" i="9"/>
  <c r="L28" i="9" s="1"/>
  <c r="E27" i="9"/>
  <c r="D27" i="9"/>
  <c r="C27" i="9"/>
  <c r="B27" i="9"/>
  <c r="A27" i="9"/>
  <c r="F26" i="9" a="1"/>
  <c r="F26" i="9" s="1"/>
  <c r="G26" i="9" s="1"/>
  <c r="E26" i="9"/>
  <c r="D26" i="9"/>
  <c r="C26" i="9"/>
  <c r="B26" i="9"/>
  <c r="A26" i="9"/>
  <c r="L26" i="9" s="1"/>
  <c r="E25" i="9"/>
  <c r="D25" i="9"/>
  <c r="C25" i="9"/>
  <c r="B25" i="9"/>
  <c r="A25" i="9"/>
  <c r="F24" i="9" a="1"/>
  <c r="F24" i="9" s="1"/>
  <c r="G24" i="9" s="1"/>
  <c r="E24" i="9"/>
  <c r="D24" i="9"/>
  <c r="C24" i="9"/>
  <c r="B24" i="9"/>
  <c r="A24" i="9"/>
  <c r="L24" i="9" s="1"/>
  <c r="E23" i="9"/>
  <c r="D23" i="9"/>
  <c r="C23" i="9"/>
  <c r="B23" i="9"/>
  <c r="A23" i="9"/>
  <c r="F22" i="9" a="1"/>
  <c r="F22" i="9" s="1"/>
  <c r="G22" i="9" s="1"/>
  <c r="E22" i="9"/>
  <c r="D22" i="9"/>
  <c r="C22" i="9"/>
  <c r="B22" i="9"/>
  <c r="A22" i="9"/>
  <c r="L22" i="9" s="1"/>
  <c r="E21" i="9"/>
  <c r="D21" i="9"/>
  <c r="C21" i="9"/>
  <c r="B21" i="9"/>
  <c r="A21" i="9"/>
  <c r="F20" i="9" a="1"/>
  <c r="F20" i="9" s="1"/>
  <c r="G20" i="9" s="1"/>
  <c r="E20" i="9"/>
  <c r="D20" i="9"/>
  <c r="C20" i="9"/>
  <c r="B20" i="9"/>
  <c r="A20" i="9"/>
  <c r="L20" i="9" s="1"/>
  <c r="E19" i="9"/>
  <c r="D19" i="9"/>
  <c r="C19" i="9"/>
  <c r="B19" i="9"/>
  <c r="A19" i="9"/>
  <c r="F18" i="9" a="1"/>
  <c r="F18" i="9" s="1"/>
  <c r="G18" i="9" s="1"/>
  <c r="E18" i="9"/>
  <c r="D18" i="9"/>
  <c r="C18" i="9"/>
  <c r="B18" i="9"/>
  <c r="A18" i="9"/>
  <c r="L18" i="9" s="1"/>
  <c r="E17" i="9"/>
  <c r="D17" i="9"/>
  <c r="C17" i="9"/>
  <c r="B17" i="9"/>
  <c r="A17" i="9"/>
  <c r="F16" i="9" a="1"/>
  <c r="F16" i="9" s="1"/>
  <c r="G16" i="9" s="1"/>
  <c r="E16" i="9"/>
  <c r="D16" i="9"/>
  <c r="C16" i="9"/>
  <c r="B16" i="9"/>
  <c r="A16" i="9"/>
  <c r="L16" i="9" s="1"/>
  <c r="E15" i="9"/>
  <c r="D15" i="9"/>
  <c r="C15" i="9"/>
  <c r="B15" i="9"/>
  <c r="A15" i="9"/>
  <c r="F14" i="9" a="1"/>
  <c r="F14" i="9" s="1"/>
  <c r="G14" i="9" s="1"/>
  <c r="E14" i="9"/>
  <c r="D14" i="9"/>
  <c r="C14" i="9"/>
  <c r="B14" i="9"/>
  <c r="A14" i="9"/>
  <c r="L14" i="9" s="1"/>
  <c r="E13" i="9"/>
  <c r="D13" i="9"/>
  <c r="C13" i="9"/>
  <c r="B13" i="9"/>
  <c r="A13" i="9"/>
  <c r="F12" i="9" a="1"/>
  <c r="F12" i="9" s="1"/>
  <c r="G12" i="9" s="1"/>
  <c r="E12" i="9"/>
  <c r="D12" i="9"/>
  <c r="C12" i="9"/>
  <c r="B12" i="9"/>
  <c r="A12" i="9"/>
  <c r="L12" i="9" s="1"/>
  <c r="E11" i="9"/>
  <c r="D11" i="9"/>
  <c r="C11" i="9"/>
  <c r="B11" i="9"/>
  <c r="A11" i="9"/>
  <c r="F10" i="9" a="1"/>
  <c r="F10" i="9" s="1"/>
  <c r="G10" i="9" s="1"/>
  <c r="E10" i="9"/>
  <c r="D10" i="9"/>
  <c r="C10" i="9"/>
  <c r="B10" i="9"/>
  <c r="A10" i="9"/>
  <c r="L10" i="9" s="1"/>
  <c r="E9" i="9"/>
  <c r="D9" i="9"/>
  <c r="C9" i="9"/>
  <c r="B9" i="9"/>
  <c r="A9" i="9"/>
  <c r="F8" i="9" a="1"/>
  <c r="F8" i="9" s="1"/>
  <c r="G8" i="9" s="1"/>
  <c r="E8" i="9"/>
  <c r="D8" i="9"/>
  <c r="C8" i="9"/>
  <c r="B8" i="9"/>
  <c r="A8" i="9"/>
  <c r="L8" i="9" s="1"/>
  <c r="E7" i="9"/>
  <c r="D7" i="9"/>
  <c r="C7" i="9"/>
  <c r="B7" i="9"/>
  <c r="A7" i="9"/>
  <c r="E6" i="9"/>
  <c r="D6" i="9"/>
  <c r="C6" i="9"/>
  <c r="B6" i="9"/>
  <c r="A6" i="9"/>
  <c r="E5" i="9"/>
  <c r="D5" i="9"/>
  <c r="C5" i="9"/>
  <c r="B5" i="9"/>
  <c r="A5" i="9"/>
  <c r="E4" i="9"/>
  <c r="D4" i="9"/>
  <c r="C4" i="9"/>
  <c r="B4" i="9"/>
  <c r="A4" i="9"/>
  <c r="AB200" i="7"/>
  <c r="AA200" i="7"/>
  <c r="Z200" i="7"/>
  <c r="Y200" i="7"/>
  <c r="N200" i="7"/>
  <c r="I200" i="7"/>
  <c r="M200" i="7" s="1"/>
  <c r="E200" i="7"/>
  <c r="D200" i="7"/>
  <c r="C200" i="7"/>
  <c r="B200" i="7"/>
  <c r="AB199" i="7"/>
  <c r="AA199" i="7"/>
  <c r="Z199" i="7"/>
  <c r="Y199" i="7"/>
  <c r="I199" i="7"/>
  <c r="M199" i="7" s="1"/>
  <c r="E199" i="7"/>
  <c r="D199" i="7"/>
  <c r="C199" i="7"/>
  <c r="B199" i="7"/>
  <c r="AB198" i="7"/>
  <c r="AA198" i="7"/>
  <c r="Z198" i="7"/>
  <c r="Y198" i="7"/>
  <c r="W198" i="7"/>
  <c r="N198" i="7"/>
  <c r="M198" i="7"/>
  <c r="L198" i="7"/>
  <c r="K198" i="7"/>
  <c r="J198" i="7"/>
  <c r="U198" i="7" s="1"/>
  <c r="X198" i="7" s="1"/>
  <c r="I198" i="7"/>
  <c r="E198" i="7"/>
  <c r="D198" i="7"/>
  <c r="C198" i="7"/>
  <c r="S198" i="7" s="1"/>
  <c r="T198" i="7" s="1"/>
  <c r="B198" i="7"/>
  <c r="AB197" i="7"/>
  <c r="AA197" i="7"/>
  <c r="Z197" i="7"/>
  <c r="Y197" i="7"/>
  <c r="N197" i="7"/>
  <c r="M197" i="7"/>
  <c r="L197" i="7"/>
  <c r="S197" i="7" s="1"/>
  <c r="T197" i="7" s="1"/>
  <c r="K197" i="7"/>
  <c r="J197" i="7"/>
  <c r="U197" i="7" s="1"/>
  <c r="I197" i="7"/>
  <c r="E197" i="7"/>
  <c r="D197" i="7"/>
  <c r="C197" i="7"/>
  <c r="B197" i="7"/>
  <c r="AB196" i="7"/>
  <c r="AA196" i="7"/>
  <c r="Z196" i="7"/>
  <c r="Y196" i="7"/>
  <c r="N196" i="7"/>
  <c r="M196" i="7"/>
  <c r="L196" i="7"/>
  <c r="K196" i="7"/>
  <c r="J196" i="7"/>
  <c r="I196" i="7"/>
  <c r="E196" i="7"/>
  <c r="D196" i="7"/>
  <c r="C196" i="7"/>
  <c r="S196" i="7" s="1"/>
  <c r="T196" i="7" s="1"/>
  <c r="B196" i="7"/>
  <c r="AB195" i="7"/>
  <c r="AA195" i="7"/>
  <c r="Z195" i="7"/>
  <c r="Y195" i="7"/>
  <c r="W195" i="7"/>
  <c r="U195" i="7"/>
  <c r="T195" i="7"/>
  <c r="N195" i="7"/>
  <c r="M195" i="7"/>
  <c r="L195" i="7"/>
  <c r="K195" i="7"/>
  <c r="J195" i="7"/>
  <c r="I195" i="7"/>
  <c r="E195" i="7"/>
  <c r="D195" i="7"/>
  <c r="C195" i="7"/>
  <c r="S195" i="7" s="1"/>
  <c r="B195" i="7"/>
  <c r="AB194" i="7"/>
  <c r="AA194" i="7"/>
  <c r="Z194" i="7"/>
  <c r="Y194" i="7"/>
  <c r="N194" i="7"/>
  <c r="L194" i="7"/>
  <c r="J194" i="7"/>
  <c r="U194" i="7" s="1"/>
  <c r="I194" i="7"/>
  <c r="E194" i="7"/>
  <c r="D194" i="7"/>
  <c r="C194" i="7"/>
  <c r="S194" i="7" s="1"/>
  <c r="T194" i="7" s="1"/>
  <c r="B194" i="7"/>
  <c r="AB193" i="7"/>
  <c r="AA193" i="7"/>
  <c r="Z193" i="7"/>
  <c r="Y193" i="7"/>
  <c r="N193" i="7"/>
  <c r="M193" i="7"/>
  <c r="L193" i="7"/>
  <c r="K193" i="7"/>
  <c r="J193" i="7"/>
  <c r="I193" i="7"/>
  <c r="E193" i="7"/>
  <c r="D193" i="7"/>
  <c r="C193" i="7"/>
  <c r="S193" i="7" s="1"/>
  <c r="T193" i="7" s="1"/>
  <c r="B193" i="7"/>
  <c r="AB192" i="7"/>
  <c r="AA192" i="7"/>
  <c r="Z192" i="7"/>
  <c r="Y192" i="7"/>
  <c r="S192" i="7"/>
  <c r="N192" i="7"/>
  <c r="M192" i="7"/>
  <c r="K192" i="7"/>
  <c r="J192" i="7"/>
  <c r="U192" i="7" s="1"/>
  <c r="I192" i="7"/>
  <c r="L192" i="7" s="1"/>
  <c r="E192" i="7"/>
  <c r="D192" i="7"/>
  <c r="C192" i="7"/>
  <c r="B192" i="7"/>
  <c r="AB191" i="7"/>
  <c r="AA191" i="7"/>
  <c r="Z191" i="7"/>
  <c r="Y191" i="7"/>
  <c r="J191" i="7"/>
  <c r="I191" i="7"/>
  <c r="E191" i="7"/>
  <c r="D191" i="7"/>
  <c r="C191" i="7"/>
  <c r="B191" i="7"/>
  <c r="AB190" i="7"/>
  <c r="AA190" i="7"/>
  <c r="Z190" i="7"/>
  <c r="Y190" i="7"/>
  <c r="W190" i="7"/>
  <c r="U190" i="7"/>
  <c r="V190" i="7" s="1"/>
  <c r="N190" i="7"/>
  <c r="M190" i="7"/>
  <c r="L190" i="7"/>
  <c r="K190" i="7"/>
  <c r="J190" i="7"/>
  <c r="I190" i="7"/>
  <c r="E190" i="7"/>
  <c r="D190" i="7"/>
  <c r="C190" i="7"/>
  <c r="S190" i="7" s="1"/>
  <c r="T190" i="7" s="1"/>
  <c r="B190" i="7"/>
  <c r="AB189" i="7"/>
  <c r="AA189" i="7"/>
  <c r="Z189" i="7"/>
  <c r="Y189" i="7"/>
  <c r="W189" i="7"/>
  <c r="U189" i="7"/>
  <c r="V189" i="7" s="1"/>
  <c r="N189" i="7"/>
  <c r="M189" i="7"/>
  <c r="L189" i="7"/>
  <c r="K189" i="7"/>
  <c r="I189" i="7"/>
  <c r="J189" i="7" s="1"/>
  <c r="E189" i="7"/>
  <c r="D189" i="7"/>
  <c r="C189" i="7"/>
  <c r="B189" i="7"/>
  <c r="AB188" i="7"/>
  <c r="AA188" i="7"/>
  <c r="Z188" i="7"/>
  <c r="Y188" i="7"/>
  <c r="I188" i="7"/>
  <c r="K188" i="7" s="1"/>
  <c r="E188" i="7"/>
  <c r="D188" i="7"/>
  <c r="C188" i="7"/>
  <c r="B188" i="7"/>
  <c r="AB187" i="7"/>
  <c r="AA187" i="7"/>
  <c r="Z187" i="7"/>
  <c r="Y187" i="7"/>
  <c r="W187" i="7"/>
  <c r="N187" i="7"/>
  <c r="L187" i="7"/>
  <c r="S187" i="7" s="1"/>
  <c r="T187" i="7" s="1"/>
  <c r="J187" i="7"/>
  <c r="U187" i="7" s="1"/>
  <c r="V187" i="7" s="1"/>
  <c r="I187" i="7"/>
  <c r="E187" i="7"/>
  <c r="D187" i="7"/>
  <c r="C187" i="7"/>
  <c r="B187" i="7"/>
  <c r="AB186" i="7"/>
  <c r="AA186" i="7"/>
  <c r="Z186" i="7"/>
  <c r="Y186" i="7"/>
  <c r="I186" i="7"/>
  <c r="L186" i="7" s="1"/>
  <c r="S186" i="7" s="1"/>
  <c r="E186" i="7"/>
  <c r="D186" i="7"/>
  <c r="C186" i="7"/>
  <c r="B186" i="7"/>
  <c r="AB185" i="7"/>
  <c r="AA185" i="7"/>
  <c r="Z185" i="7"/>
  <c r="Y185" i="7"/>
  <c r="I185" i="7"/>
  <c r="J185" i="7" s="1"/>
  <c r="E185" i="7"/>
  <c r="D185" i="7"/>
  <c r="C185" i="7"/>
  <c r="B185" i="7"/>
  <c r="AB184" i="7"/>
  <c r="AA184" i="7"/>
  <c r="Z184" i="7"/>
  <c r="Y184" i="7"/>
  <c r="I184" i="7"/>
  <c r="E184" i="7"/>
  <c r="D184" i="7"/>
  <c r="C184" i="7"/>
  <c r="B184" i="7"/>
  <c r="AB183" i="7"/>
  <c r="AA183" i="7"/>
  <c r="Z183" i="7"/>
  <c r="Y183" i="7"/>
  <c r="W183" i="7"/>
  <c r="U183" i="7"/>
  <c r="V183" i="7" s="1"/>
  <c r="N183" i="7"/>
  <c r="M183" i="7"/>
  <c r="L183" i="7"/>
  <c r="K183" i="7"/>
  <c r="J183" i="7"/>
  <c r="I183" i="7"/>
  <c r="E183" i="7"/>
  <c r="D183" i="7"/>
  <c r="C183" i="7"/>
  <c r="S183" i="7" s="1"/>
  <c r="T183" i="7" s="1"/>
  <c r="B183" i="7"/>
  <c r="AB182" i="7"/>
  <c r="AA182" i="7"/>
  <c r="Z182" i="7"/>
  <c r="Y182" i="7"/>
  <c r="L182" i="7"/>
  <c r="I182" i="7"/>
  <c r="E182" i="7"/>
  <c r="D182" i="7"/>
  <c r="C182" i="7"/>
  <c r="S182" i="7" s="1"/>
  <c r="B182" i="7"/>
  <c r="AB181" i="7"/>
  <c r="AA181" i="7"/>
  <c r="Z181" i="7"/>
  <c r="Y181" i="7"/>
  <c r="S181" i="7"/>
  <c r="N181" i="7"/>
  <c r="L181" i="7"/>
  <c r="I181" i="7"/>
  <c r="E181" i="7"/>
  <c r="D181" i="7"/>
  <c r="C181" i="7"/>
  <c r="B181" i="7"/>
  <c r="AB180" i="7"/>
  <c r="AA180" i="7"/>
  <c r="Z180" i="7"/>
  <c r="Y180" i="7"/>
  <c r="W180" i="7"/>
  <c r="U180" i="7"/>
  <c r="N180" i="7"/>
  <c r="J180" i="7"/>
  <c r="I180" i="7"/>
  <c r="E180" i="7"/>
  <c r="D180" i="7"/>
  <c r="C180" i="7"/>
  <c r="B180" i="7"/>
  <c r="AB179" i="7"/>
  <c r="AA179" i="7"/>
  <c r="Z179" i="7"/>
  <c r="Y179" i="7"/>
  <c r="I179" i="7"/>
  <c r="J179" i="7" s="1"/>
  <c r="E179" i="7"/>
  <c r="D179" i="7"/>
  <c r="C179" i="7"/>
  <c r="B179" i="7"/>
  <c r="AB178" i="7"/>
  <c r="AA178" i="7"/>
  <c r="Z178" i="7"/>
  <c r="Y178" i="7"/>
  <c r="M178" i="7"/>
  <c r="K178" i="7"/>
  <c r="I178" i="7"/>
  <c r="E178" i="7"/>
  <c r="D178" i="7"/>
  <c r="C178" i="7"/>
  <c r="B178" i="7"/>
  <c r="AB177" i="7"/>
  <c r="AA177" i="7"/>
  <c r="Z177" i="7"/>
  <c r="Y177" i="7"/>
  <c r="I177" i="7"/>
  <c r="M177" i="7" s="1"/>
  <c r="E177" i="7"/>
  <c r="D177" i="7"/>
  <c r="C177" i="7"/>
  <c r="B177" i="7"/>
  <c r="AB176" i="7"/>
  <c r="AA176" i="7"/>
  <c r="Z176" i="7"/>
  <c r="Y176" i="7"/>
  <c r="N176" i="7"/>
  <c r="M176" i="7"/>
  <c r="L176" i="7"/>
  <c r="K176" i="7"/>
  <c r="J176" i="7"/>
  <c r="I176" i="7"/>
  <c r="E176" i="7"/>
  <c r="D176" i="7"/>
  <c r="C176" i="7"/>
  <c r="S176" i="7" s="1"/>
  <c r="T176" i="7" s="1"/>
  <c r="B176" i="7"/>
  <c r="AB175" i="7"/>
  <c r="AA175" i="7"/>
  <c r="Z175" i="7"/>
  <c r="Y175" i="7"/>
  <c r="I175" i="7"/>
  <c r="E175" i="7"/>
  <c r="D175" i="7"/>
  <c r="C175" i="7"/>
  <c r="B175" i="7"/>
  <c r="AB174" i="7"/>
  <c r="AA174" i="7"/>
  <c r="Z174" i="7"/>
  <c r="Y174" i="7"/>
  <c r="N174" i="7"/>
  <c r="M174" i="7"/>
  <c r="L174" i="7"/>
  <c r="K174" i="7"/>
  <c r="J174" i="7"/>
  <c r="U174" i="7" s="1"/>
  <c r="V174" i="7" s="1"/>
  <c r="I174" i="7"/>
  <c r="E174" i="7"/>
  <c r="D174" i="7"/>
  <c r="C174" i="7"/>
  <c r="S174" i="7" s="1"/>
  <c r="T174" i="7" s="1"/>
  <c r="B174" i="7"/>
  <c r="AB173" i="7"/>
  <c r="AA173" i="7"/>
  <c r="Z173" i="7"/>
  <c r="Y173" i="7"/>
  <c r="I173" i="7"/>
  <c r="J173" i="7" s="1"/>
  <c r="E173" i="7"/>
  <c r="D173" i="7"/>
  <c r="C173" i="7"/>
  <c r="B173" i="7"/>
  <c r="AB172" i="7"/>
  <c r="AA172" i="7"/>
  <c r="Z172" i="7"/>
  <c r="Y172" i="7"/>
  <c r="I172" i="7"/>
  <c r="E172" i="7"/>
  <c r="D172" i="7"/>
  <c r="C172" i="7"/>
  <c r="B172" i="7"/>
  <c r="AB171" i="7"/>
  <c r="AA171" i="7"/>
  <c r="Z171" i="7"/>
  <c r="Y171" i="7"/>
  <c r="U171" i="7"/>
  <c r="N171" i="7"/>
  <c r="M171" i="7"/>
  <c r="K171" i="7"/>
  <c r="I171" i="7"/>
  <c r="J171" i="7" s="1"/>
  <c r="W171" i="7" s="1"/>
  <c r="E171" i="7"/>
  <c r="D171" i="7"/>
  <c r="C171" i="7"/>
  <c r="B171" i="7"/>
  <c r="AB170" i="7"/>
  <c r="AA170" i="7"/>
  <c r="Z170" i="7"/>
  <c r="Y170" i="7"/>
  <c r="S170" i="7"/>
  <c r="N170" i="7"/>
  <c r="L170" i="7"/>
  <c r="K170" i="7"/>
  <c r="J170" i="7"/>
  <c r="I170" i="7"/>
  <c r="M170" i="7" s="1"/>
  <c r="E170" i="7"/>
  <c r="D170" i="7"/>
  <c r="C170" i="7"/>
  <c r="B170" i="7"/>
  <c r="AB169" i="7"/>
  <c r="AA169" i="7"/>
  <c r="Z169" i="7"/>
  <c r="Y169" i="7"/>
  <c r="N169" i="7"/>
  <c r="M169" i="7"/>
  <c r="L169" i="7"/>
  <c r="K169" i="7"/>
  <c r="J169" i="7"/>
  <c r="U169" i="7" s="1"/>
  <c r="I169" i="7"/>
  <c r="E169" i="7"/>
  <c r="D169" i="7"/>
  <c r="C169" i="7"/>
  <c r="S169" i="7" s="1"/>
  <c r="B169" i="7"/>
  <c r="AB168" i="7"/>
  <c r="AA168" i="7"/>
  <c r="Z168" i="7"/>
  <c r="Y168" i="7"/>
  <c r="W168" i="7"/>
  <c r="S168" i="7"/>
  <c r="T168" i="7" s="1"/>
  <c r="N168" i="7"/>
  <c r="M168" i="7"/>
  <c r="L168" i="7"/>
  <c r="K168" i="7"/>
  <c r="J168" i="7"/>
  <c r="U168" i="7" s="1"/>
  <c r="V168" i="7" s="1"/>
  <c r="I168" i="7"/>
  <c r="E168" i="7"/>
  <c r="D168" i="7"/>
  <c r="C168" i="7"/>
  <c r="B168" i="7"/>
  <c r="AB167" i="7"/>
  <c r="AA167" i="7"/>
  <c r="Z167" i="7"/>
  <c r="Y167" i="7"/>
  <c r="N167" i="7"/>
  <c r="L167" i="7"/>
  <c r="K167" i="7"/>
  <c r="J167" i="7"/>
  <c r="I167" i="7"/>
  <c r="M167" i="7" s="1"/>
  <c r="E167" i="7"/>
  <c r="D167" i="7"/>
  <c r="C167" i="7"/>
  <c r="S167" i="7" s="1"/>
  <c r="T167" i="7" s="1"/>
  <c r="B167" i="7"/>
  <c r="AB166" i="7"/>
  <c r="AA166" i="7"/>
  <c r="Z166" i="7"/>
  <c r="Y166" i="7"/>
  <c r="U166" i="7"/>
  <c r="K166" i="7"/>
  <c r="J166" i="7"/>
  <c r="W166" i="7" s="1"/>
  <c r="I166" i="7"/>
  <c r="M166" i="7" s="1"/>
  <c r="E166" i="7"/>
  <c r="D166" i="7"/>
  <c r="C166" i="7"/>
  <c r="B166" i="7"/>
  <c r="AB165" i="7"/>
  <c r="AA165" i="7"/>
  <c r="Z165" i="7"/>
  <c r="Y165" i="7"/>
  <c r="I165" i="7"/>
  <c r="J165" i="7" s="1"/>
  <c r="E165" i="7"/>
  <c r="D165" i="7"/>
  <c r="C165" i="7"/>
  <c r="B165" i="7"/>
  <c r="AB164" i="7"/>
  <c r="AA164" i="7"/>
  <c r="Z164" i="7"/>
  <c r="Y164" i="7"/>
  <c r="W164" i="7"/>
  <c r="U164" i="7"/>
  <c r="X164" i="7" s="1"/>
  <c r="S164" i="7"/>
  <c r="T164" i="7" s="1"/>
  <c r="N164" i="7"/>
  <c r="M164" i="7"/>
  <c r="L164" i="7"/>
  <c r="K164" i="7"/>
  <c r="J164" i="7"/>
  <c r="I164" i="7"/>
  <c r="E164" i="7"/>
  <c r="D164" i="7"/>
  <c r="C164" i="7"/>
  <c r="B164" i="7"/>
  <c r="AB163" i="7"/>
  <c r="AA163" i="7"/>
  <c r="Z163" i="7"/>
  <c r="Y163" i="7"/>
  <c r="N163" i="7"/>
  <c r="M163" i="7"/>
  <c r="L163" i="7"/>
  <c r="S163" i="7" s="1"/>
  <c r="T163" i="7" s="1"/>
  <c r="K163" i="7"/>
  <c r="I163" i="7"/>
  <c r="J163" i="7" s="1"/>
  <c r="U163" i="7" s="1"/>
  <c r="X163" i="7" s="1"/>
  <c r="E163" i="7"/>
  <c r="D163" i="7"/>
  <c r="C163" i="7"/>
  <c r="B163" i="7"/>
  <c r="AB162" i="7"/>
  <c r="AA162" i="7"/>
  <c r="Z162" i="7"/>
  <c r="Y162" i="7"/>
  <c r="W162" i="7"/>
  <c r="U162" i="7"/>
  <c r="N162" i="7"/>
  <c r="M162" i="7"/>
  <c r="L162" i="7"/>
  <c r="K162" i="7"/>
  <c r="J162" i="7"/>
  <c r="I162" i="7"/>
  <c r="E162" i="7"/>
  <c r="D162" i="7"/>
  <c r="C162" i="7"/>
  <c r="S162" i="7" s="1"/>
  <c r="T162" i="7" s="1"/>
  <c r="B162" i="7"/>
  <c r="AB161" i="7"/>
  <c r="AA161" i="7"/>
  <c r="Z161" i="7"/>
  <c r="Y161" i="7"/>
  <c r="S161" i="7"/>
  <c r="N161" i="7"/>
  <c r="M161" i="7"/>
  <c r="L161" i="7"/>
  <c r="I161" i="7"/>
  <c r="K161" i="7" s="1"/>
  <c r="E161" i="7"/>
  <c r="D161" i="7"/>
  <c r="C161" i="7"/>
  <c r="B161" i="7"/>
  <c r="AB160" i="7"/>
  <c r="AA160" i="7"/>
  <c r="Z160" i="7"/>
  <c r="Y160" i="7"/>
  <c r="S160" i="7"/>
  <c r="N160" i="7"/>
  <c r="M160" i="7"/>
  <c r="L160" i="7"/>
  <c r="K160" i="7"/>
  <c r="J160" i="7"/>
  <c r="W160" i="7" s="1"/>
  <c r="I160" i="7"/>
  <c r="E160" i="7"/>
  <c r="D160" i="7"/>
  <c r="C160" i="7"/>
  <c r="B160" i="7"/>
  <c r="AB159" i="7"/>
  <c r="AA159" i="7"/>
  <c r="Z159" i="7"/>
  <c r="Y159" i="7"/>
  <c r="N159" i="7"/>
  <c r="L159" i="7"/>
  <c r="J159" i="7"/>
  <c r="I159" i="7"/>
  <c r="E159" i="7"/>
  <c r="D159" i="7"/>
  <c r="C159" i="7"/>
  <c r="S159" i="7" s="1"/>
  <c r="T159" i="7" s="1"/>
  <c r="B159" i="7"/>
  <c r="AB158" i="7"/>
  <c r="AA158" i="7"/>
  <c r="Z158" i="7"/>
  <c r="Y158" i="7"/>
  <c r="N158" i="7"/>
  <c r="M158" i="7"/>
  <c r="K158" i="7"/>
  <c r="I158" i="7"/>
  <c r="E158" i="7"/>
  <c r="D158" i="7"/>
  <c r="C158" i="7"/>
  <c r="B158" i="7"/>
  <c r="AB157" i="7"/>
  <c r="AA157" i="7"/>
  <c r="Z157" i="7"/>
  <c r="Y157" i="7"/>
  <c r="U157" i="7"/>
  <c r="S157" i="7"/>
  <c r="T157" i="7" s="1"/>
  <c r="N157" i="7"/>
  <c r="M157" i="7"/>
  <c r="L157" i="7"/>
  <c r="K157" i="7"/>
  <c r="J157" i="7"/>
  <c r="W157" i="7" s="1"/>
  <c r="I157" i="7"/>
  <c r="E157" i="7"/>
  <c r="D157" i="7"/>
  <c r="C157" i="7"/>
  <c r="B157" i="7"/>
  <c r="AB156" i="7"/>
  <c r="AA156" i="7"/>
  <c r="Z156" i="7"/>
  <c r="Y156" i="7"/>
  <c r="M156" i="7"/>
  <c r="I156" i="7"/>
  <c r="E156" i="7"/>
  <c r="D156" i="7"/>
  <c r="C156" i="7"/>
  <c r="B156" i="7"/>
  <c r="AB155" i="7"/>
  <c r="AA155" i="7"/>
  <c r="Z155" i="7"/>
  <c r="Y155" i="7"/>
  <c r="W155" i="7"/>
  <c r="U155" i="7"/>
  <c r="X155" i="7" s="1"/>
  <c r="T155" i="7"/>
  <c r="S155" i="7"/>
  <c r="N155" i="7"/>
  <c r="M155" i="7"/>
  <c r="L155" i="7"/>
  <c r="K155" i="7"/>
  <c r="J155" i="7"/>
  <c r="I155" i="7"/>
  <c r="E155" i="7"/>
  <c r="D155" i="7"/>
  <c r="C155" i="7"/>
  <c r="B155" i="7"/>
  <c r="AB154" i="7"/>
  <c r="AA154" i="7"/>
  <c r="Z154" i="7"/>
  <c r="Y154" i="7"/>
  <c r="I154" i="7"/>
  <c r="M154" i="7" s="1"/>
  <c r="E154" i="7"/>
  <c r="D154" i="7"/>
  <c r="C154" i="7"/>
  <c r="B154" i="7"/>
  <c r="AB153" i="7"/>
  <c r="AA153" i="7"/>
  <c r="Z153" i="7"/>
  <c r="Y153" i="7"/>
  <c r="S153" i="7"/>
  <c r="T153" i="7" s="1"/>
  <c r="N153" i="7"/>
  <c r="M153" i="7"/>
  <c r="L153" i="7"/>
  <c r="K153" i="7"/>
  <c r="J153" i="7"/>
  <c r="I153" i="7"/>
  <c r="E153" i="7"/>
  <c r="D153" i="7"/>
  <c r="C153" i="7"/>
  <c r="B153" i="7"/>
  <c r="AB152" i="7"/>
  <c r="AA152" i="7"/>
  <c r="Z152" i="7"/>
  <c r="Y152" i="7"/>
  <c r="N152" i="7"/>
  <c r="L152" i="7"/>
  <c r="S152" i="7" s="1"/>
  <c r="T152" i="7" s="1"/>
  <c r="J152" i="7"/>
  <c r="I152" i="7"/>
  <c r="E152" i="7"/>
  <c r="D152" i="7"/>
  <c r="C152" i="7"/>
  <c r="B152" i="7"/>
  <c r="AB151" i="7"/>
  <c r="AA151" i="7"/>
  <c r="Z151" i="7"/>
  <c r="Y151" i="7"/>
  <c r="I151" i="7"/>
  <c r="N151" i="7" s="1"/>
  <c r="E151" i="7"/>
  <c r="D151" i="7"/>
  <c r="C151" i="7"/>
  <c r="B151" i="7"/>
  <c r="AB150" i="7"/>
  <c r="AA150" i="7"/>
  <c r="Z150" i="7"/>
  <c r="Y150" i="7"/>
  <c r="N150" i="7"/>
  <c r="M150" i="7"/>
  <c r="J150" i="7"/>
  <c r="I150" i="7"/>
  <c r="E150" i="7"/>
  <c r="D150" i="7"/>
  <c r="C150" i="7"/>
  <c r="B150" i="7"/>
  <c r="AB149" i="7"/>
  <c r="AA149" i="7"/>
  <c r="Z149" i="7"/>
  <c r="Y149" i="7"/>
  <c r="I149" i="7"/>
  <c r="L149" i="7" s="1"/>
  <c r="S149" i="7" s="1"/>
  <c r="E149" i="7"/>
  <c r="D149" i="7"/>
  <c r="C149" i="7"/>
  <c r="B149" i="7"/>
  <c r="AB148" i="7"/>
  <c r="AA148" i="7"/>
  <c r="Z148" i="7"/>
  <c r="Y148" i="7"/>
  <c r="U148" i="7"/>
  <c r="V148" i="7" s="1"/>
  <c r="N148" i="7"/>
  <c r="M148" i="7"/>
  <c r="L148" i="7"/>
  <c r="K148" i="7"/>
  <c r="J148" i="7"/>
  <c r="W148" i="7" s="1"/>
  <c r="I148" i="7"/>
  <c r="E148" i="7"/>
  <c r="D148" i="7"/>
  <c r="C148" i="7"/>
  <c r="B148" i="7"/>
  <c r="AB147" i="7"/>
  <c r="AA147" i="7"/>
  <c r="Z147" i="7"/>
  <c r="Y147" i="7"/>
  <c r="W147" i="7"/>
  <c r="U147" i="7"/>
  <c r="X147" i="7" s="1"/>
  <c r="M147" i="7"/>
  <c r="L147" i="7"/>
  <c r="S147" i="7" s="1"/>
  <c r="T147" i="7" s="1"/>
  <c r="K147" i="7"/>
  <c r="J147" i="7"/>
  <c r="I147" i="7"/>
  <c r="N147" i="7" s="1"/>
  <c r="E147" i="7"/>
  <c r="D147" i="7"/>
  <c r="C147" i="7"/>
  <c r="B147" i="7"/>
  <c r="AB146" i="7"/>
  <c r="AA146" i="7"/>
  <c r="Z146" i="7"/>
  <c r="Y146" i="7"/>
  <c r="S146" i="7"/>
  <c r="T146" i="7" s="1"/>
  <c r="N146" i="7"/>
  <c r="M146" i="7"/>
  <c r="L146" i="7"/>
  <c r="K146" i="7"/>
  <c r="J146" i="7"/>
  <c r="I146" i="7"/>
  <c r="E146" i="7"/>
  <c r="D146" i="7"/>
  <c r="C146" i="7"/>
  <c r="B146" i="7"/>
  <c r="AB145" i="7"/>
  <c r="AA145" i="7"/>
  <c r="Z145" i="7"/>
  <c r="Y145" i="7"/>
  <c r="N145" i="7"/>
  <c r="L145" i="7"/>
  <c r="I145" i="7"/>
  <c r="M145" i="7" s="1"/>
  <c r="E145" i="7"/>
  <c r="D145" i="7"/>
  <c r="C145" i="7"/>
  <c r="B145" i="7"/>
  <c r="AB144" i="7"/>
  <c r="AA144" i="7"/>
  <c r="Z144" i="7"/>
  <c r="Y144" i="7"/>
  <c r="U144" i="7"/>
  <c r="X144" i="7" s="1"/>
  <c r="T144" i="7"/>
  <c r="S144" i="7"/>
  <c r="N144" i="7"/>
  <c r="L144" i="7"/>
  <c r="K144" i="7"/>
  <c r="J144" i="7"/>
  <c r="W144" i="7" s="1"/>
  <c r="I144" i="7"/>
  <c r="M144" i="7" s="1"/>
  <c r="E144" i="7"/>
  <c r="D144" i="7"/>
  <c r="C144" i="7"/>
  <c r="B144" i="7"/>
  <c r="AB143" i="7"/>
  <c r="AA143" i="7"/>
  <c r="Z143" i="7"/>
  <c r="Y143" i="7"/>
  <c r="I143" i="7"/>
  <c r="L143" i="7" s="1"/>
  <c r="S143" i="7" s="1"/>
  <c r="E143" i="7"/>
  <c r="D143" i="7"/>
  <c r="C143" i="7"/>
  <c r="B143" i="7"/>
  <c r="AB142" i="7"/>
  <c r="AA142" i="7"/>
  <c r="Z142" i="7"/>
  <c r="Y142" i="7"/>
  <c r="N142" i="7"/>
  <c r="M142" i="7"/>
  <c r="L142" i="7"/>
  <c r="K142" i="7"/>
  <c r="J142" i="7"/>
  <c r="U142" i="7" s="1"/>
  <c r="I142" i="7"/>
  <c r="E142" i="7"/>
  <c r="D142" i="7"/>
  <c r="C142" i="7"/>
  <c r="S142" i="7" s="1"/>
  <c r="T142" i="7" s="1"/>
  <c r="B142" i="7"/>
  <c r="AB141" i="7"/>
  <c r="AA141" i="7"/>
  <c r="Z141" i="7"/>
  <c r="Y141" i="7"/>
  <c r="W141" i="7"/>
  <c r="U141" i="7"/>
  <c r="V141" i="7" s="1"/>
  <c r="S141" i="7"/>
  <c r="T141" i="7" s="1"/>
  <c r="N141" i="7"/>
  <c r="M141" i="7"/>
  <c r="L141" i="7"/>
  <c r="K141" i="7"/>
  <c r="J141" i="7"/>
  <c r="I141" i="7"/>
  <c r="E141" i="7"/>
  <c r="D141" i="7"/>
  <c r="C141" i="7"/>
  <c r="B141" i="7"/>
  <c r="AB140" i="7"/>
  <c r="AA140" i="7"/>
  <c r="Z140" i="7"/>
  <c r="Y140" i="7"/>
  <c r="S140" i="7"/>
  <c r="N140" i="7"/>
  <c r="M140" i="7"/>
  <c r="K140" i="7"/>
  <c r="J140" i="7"/>
  <c r="W140" i="7" s="1"/>
  <c r="I140" i="7"/>
  <c r="L140" i="7" s="1"/>
  <c r="E140" i="7"/>
  <c r="D140" i="7"/>
  <c r="C140" i="7"/>
  <c r="B140" i="7"/>
  <c r="AB139" i="7"/>
  <c r="AA139" i="7"/>
  <c r="Z139" i="7"/>
  <c r="Y139" i="7"/>
  <c r="N139" i="7"/>
  <c r="K139" i="7"/>
  <c r="I139" i="7"/>
  <c r="E139" i="7"/>
  <c r="D139" i="7"/>
  <c r="C139" i="7"/>
  <c r="B139" i="7"/>
  <c r="AB138" i="7"/>
  <c r="AA138" i="7"/>
  <c r="Z138" i="7"/>
  <c r="Y138" i="7"/>
  <c r="N138" i="7"/>
  <c r="K138" i="7"/>
  <c r="I138" i="7"/>
  <c r="E138" i="7"/>
  <c r="D138" i="7"/>
  <c r="C138" i="7"/>
  <c r="B138" i="7"/>
  <c r="AB137" i="7"/>
  <c r="AA137" i="7"/>
  <c r="Z137" i="7"/>
  <c r="Y137" i="7"/>
  <c r="L137" i="7"/>
  <c r="K137" i="7"/>
  <c r="J137" i="7"/>
  <c r="U137" i="7" s="1"/>
  <c r="V137" i="7" s="1"/>
  <c r="I137" i="7"/>
  <c r="M137" i="7" s="1"/>
  <c r="E137" i="7"/>
  <c r="D137" i="7"/>
  <c r="C137" i="7"/>
  <c r="S137" i="7" s="1"/>
  <c r="T137" i="7" s="1"/>
  <c r="B137" i="7"/>
  <c r="AB136" i="7"/>
  <c r="AA136" i="7"/>
  <c r="Z136" i="7"/>
  <c r="Y136" i="7"/>
  <c r="I136" i="7"/>
  <c r="N136" i="7" s="1"/>
  <c r="E136" i="7"/>
  <c r="D136" i="7"/>
  <c r="C136" i="7"/>
  <c r="B136" i="7"/>
  <c r="AB135" i="7"/>
  <c r="AA135" i="7"/>
  <c r="Z135" i="7"/>
  <c r="Y135" i="7"/>
  <c r="I135" i="7"/>
  <c r="E135" i="7"/>
  <c r="D135" i="7"/>
  <c r="C135" i="7"/>
  <c r="B135" i="7"/>
  <c r="AB134" i="7"/>
  <c r="AA134" i="7"/>
  <c r="Z134" i="7"/>
  <c r="Y134" i="7"/>
  <c r="W134" i="7"/>
  <c r="N134" i="7"/>
  <c r="M134" i="7"/>
  <c r="L134" i="7"/>
  <c r="K134" i="7"/>
  <c r="J134" i="7"/>
  <c r="U134" i="7" s="1"/>
  <c r="V134" i="7" s="1"/>
  <c r="I134" i="7"/>
  <c r="E134" i="7"/>
  <c r="D134" i="7"/>
  <c r="C134" i="7"/>
  <c r="S134" i="7" s="1"/>
  <c r="B134" i="7"/>
  <c r="AB133" i="7"/>
  <c r="AA133" i="7"/>
  <c r="Z133" i="7"/>
  <c r="Y133" i="7"/>
  <c r="N133" i="7"/>
  <c r="M133" i="7"/>
  <c r="L133" i="7"/>
  <c r="K133" i="7"/>
  <c r="J133" i="7"/>
  <c r="I133" i="7"/>
  <c r="E133" i="7"/>
  <c r="D133" i="7"/>
  <c r="C133" i="7"/>
  <c r="S133" i="7" s="1"/>
  <c r="B133" i="7"/>
  <c r="AB132" i="7"/>
  <c r="AA132" i="7"/>
  <c r="Z132" i="7"/>
  <c r="Y132" i="7"/>
  <c r="S132" i="7"/>
  <c r="T132" i="7" s="1"/>
  <c r="N132" i="7"/>
  <c r="M132" i="7"/>
  <c r="L132" i="7"/>
  <c r="K132" i="7"/>
  <c r="J132" i="7"/>
  <c r="W132" i="7" s="1"/>
  <c r="I132" i="7"/>
  <c r="E132" i="7"/>
  <c r="D132" i="7"/>
  <c r="C132" i="7"/>
  <c r="B132" i="7"/>
  <c r="AB131" i="7"/>
  <c r="AA131" i="7"/>
  <c r="Z131" i="7"/>
  <c r="Y131" i="7"/>
  <c r="N131" i="7"/>
  <c r="K131" i="7"/>
  <c r="I131" i="7"/>
  <c r="E131" i="7"/>
  <c r="D131" i="7"/>
  <c r="C131" i="7"/>
  <c r="B131" i="7"/>
  <c r="AB130" i="7"/>
  <c r="AA130" i="7"/>
  <c r="Z130" i="7"/>
  <c r="Y130" i="7"/>
  <c r="W130" i="7"/>
  <c r="U130" i="7"/>
  <c r="X130" i="7" s="1"/>
  <c r="N130" i="7"/>
  <c r="M130" i="7"/>
  <c r="L130" i="7"/>
  <c r="S130" i="7" s="1"/>
  <c r="T130" i="7" s="1"/>
  <c r="K130" i="7"/>
  <c r="J130" i="7"/>
  <c r="I130" i="7"/>
  <c r="E130" i="7"/>
  <c r="D130" i="7"/>
  <c r="C130" i="7"/>
  <c r="B130" i="7"/>
  <c r="AB129" i="7"/>
  <c r="AA129" i="7"/>
  <c r="Z129" i="7"/>
  <c r="Y129" i="7"/>
  <c r="W129" i="7"/>
  <c r="N129" i="7"/>
  <c r="M129" i="7"/>
  <c r="L129" i="7"/>
  <c r="S129" i="7" s="1"/>
  <c r="T129" i="7" s="1"/>
  <c r="K129" i="7"/>
  <c r="I129" i="7"/>
  <c r="J129" i="7" s="1"/>
  <c r="U129" i="7" s="1"/>
  <c r="X129" i="7" s="1"/>
  <c r="E129" i="7"/>
  <c r="D129" i="7"/>
  <c r="C129" i="7"/>
  <c r="B129" i="7"/>
  <c r="AB128" i="7"/>
  <c r="AA128" i="7"/>
  <c r="Z128" i="7"/>
  <c r="Y128" i="7"/>
  <c r="I128" i="7"/>
  <c r="E128" i="7"/>
  <c r="D128" i="7"/>
  <c r="C128" i="7"/>
  <c r="B128" i="7"/>
  <c r="AB127" i="7"/>
  <c r="AA127" i="7"/>
  <c r="Z127" i="7"/>
  <c r="Y127" i="7"/>
  <c r="N127" i="7"/>
  <c r="M127" i="7"/>
  <c r="L127" i="7"/>
  <c r="K127" i="7"/>
  <c r="J127" i="7"/>
  <c r="U127" i="7" s="1"/>
  <c r="I127" i="7"/>
  <c r="E127" i="7"/>
  <c r="D127" i="7"/>
  <c r="C127" i="7"/>
  <c r="S127" i="7" s="1"/>
  <c r="T127" i="7" s="1"/>
  <c r="B127" i="7"/>
  <c r="AB126" i="7"/>
  <c r="AA126" i="7"/>
  <c r="Z126" i="7"/>
  <c r="Y126" i="7"/>
  <c r="S126" i="7"/>
  <c r="N126" i="7"/>
  <c r="I126" i="7"/>
  <c r="L126" i="7" s="1"/>
  <c r="E126" i="7"/>
  <c r="D126" i="7"/>
  <c r="C126" i="7"/>
  <c r="B126" i="7"/>
  <c r="AB125" i="7"/>
  <c r="AA125" i="7"/>
  <c r="Z125" i="7"/>
  <c r="Y125" i="7"/>
  <c r="K125" i="7"/>
  <c r="J125" i="7"/>
  <c r="I125" i="7"/>
  <c r="E125" i="7"/>
  <c r="D125" i="7"/>
  <c r="C125" i="7"/>
  <c r="B125" i="7"/>
  <c r="AB124" i="7"/>
  <c r="AA124" i="7"/>
  <c r="Z124" i="7"/>
  <c r="Y124" i="7"/>
  <c r="S124" i="7"/>
  <c r="N124" i="7"/>
  <c r="L124" i="7"/>
  <c r="K124" i="7"/>
  <c r="I124" i="7"/>
  <c r="E124" i="7"/>
  <c r="D124" i="7"/>
  <c r="C124" i="7"/>
  <c r="B124" i="7"/>
  <c r="AB123" i="7"/>
  <c r="AA123" i="7"/>
  <c r="Z123" i="7"/>
  <c r="Y123" i="7"/>
  <c r="W123" i="7"/>
  <c r="U123" i="7"/>
  <c r="X123" i="7" s="1"/>
  <c r="M123" i="7"/>
  <c r="L123" i="7"/>
  <c r="S123" i="7" s="1"/>
  <c r="T123" i="7" s="1"/>
  <c r="J123" i="7"/>
  <c r="I123" i="7"/>
  <c r="N123" i="7" s="1"/>
  <c r="E123" i="7"/>
  <c r="D123" i="7"/>
  <c r="C123" i="7"/>
  <c r="B123" i="7"/>
  <c r="AB122" i="7"/>
  <c r="AA122" i="7"/>
  <c r="Z122" i="7"/>
  <c r="Y122" i="7"/>
  <c r="I122" i="7"/>
  <c r="L122" i="7" s="1"/>
  <c r="E122" i="7"/>
  <c r="D122" i="7"/>
  <c r="C122" i="7"/>
  <c r="S122" i="7" s="1"/>
  <c r="B122" i="7"/>
  <c r="AB121" i="7"/>
  <c r="AA121" i="7"/>
  <c r="Z121" i="7"/>
  <c r="Y121" i="7"/>
  <c r="M121" i="7"/>
  <c r="I121" i="7"/>
  <c r="E121" i="7"/>
  <c r="D121" i="7"/>
  <c r="C121" i="7"/>
  <c r="B121" i="7"/>
  <c r="AB120" i="7"/>
  <c r="AA120" i="7"/>
  <c r="Z120" i="7"/>
  <c r="Y120" i="7"/>
  <c r="N120" i="7"/>
  <c r="M120" i="7"/>
  <c r="L120" i="7"/>
  <c r="K120" i="7"/>
  <c r="J120" i="7"/>
  <c r="I120" i="7"/>
  <c r="E120" i="7"/>
  <c r="D120" i="7"/>
  <c r="C120" i="7"/>
  <c r="B120" i="7"/>
  <c r="AB119" i="7"/>
  <c r="AA119" i="7"/>
  <c r="Z119" i="7"/>
  <c r="Y119" i="7"/>
  <c r="N119" i="7"/>
  <c r="M119" i="7"/>
  <c r="I119" i="7"/>
  <c r="E119" i="7"/>
  <c r="D119" i="7"/>
  <c r="C119" i="7"/>
  <c r="B119" i="7"/>
  <c r="AB118" i="7"/>
  <c r="AA118" i="7"/>
  <c r="Z118" i="7"/>
  <c r="Y118" i="7"/>
  <c r="I118" i="7"/>
  <c r="J118" i="7" s="1"/>
  <c r="E118" i="7"/>
  <c r="D118" i="7"/>
  <c r="C118" i="7"/>
  <c r="B118" i="7"/>
  <c r="AB117" i="7"/>
  <c r="AA117" i="7"/>
  <c r="Z117" i="7"/>
  <c r="Y117" i="7"/>
  <c r="I117" i="7"/>
  <c r="M117" i="7" s="1"/>
  <c r="E117" i="7"/>
  <c r="D117" i="7"/>
  <c r="C117" i="7"/>
  <c r="B117" i="7"/>
  <c r="AB116" i="7"/>
  <c r="AA116" i="7"/>
  <c r="Z116" i="7"/>
  <c r="Y116" i="7"/>
  <c r="W116" i="7"/>
  <c r="U116" i="7"/>
  <c r="X116" i="7" s="1"/>
  <c r="N116" i="7"/>
  <c r="M116" i="7"/>
  <c r="L116" i="7"/>
  <c r="S116" i="7" s="1"/>
  <c r="T116" i="7" s="1"/>
  <c r="K116" i="7"/>
  <c r="J116" i="7"/>
  <c r="I116" i="7"/>
  <c r="E116" i="7"/>
  <c r="D116" i="7"/>
  <c r="C116" i="7"/>
  <c r="B116" i="7"/>
  <c r="AB115" i="7"/>
  <c r="AA115" i="7"/>
  <c r="Z115" i="7"/>
  <c r="Y115" i="7"/>
  <c r="N115" i="7"/>
  <c r="M115" i="7"/>
  <c r="L115" i="7"/>
  <c r="S115" i="7" s="1"/>
  <c r="T115" i="7" s="1"/>
  <c r="K115" i="7"/>
  <c r="J115" i="7"/>
  <c r="W115" i="7" s="1"/>
  <c r="I115" i="7"/>
  <c r="E115" i="7"/>
  <c r="D115" i="7"/>
  <c r="C115" i="7"/>
  <c r="B115" i="7"/>
  <c r="AB114" i="7"/>
  <c r="AA114" i="7"/>
  <c r="Z114" i="7"/>
  <c r="Y114" i="7"/>
  <c r="T114" i="7"/>
  <c r="N114" i="7"/>
  <c r="M114" i="7"/>
  <c r="L114" i="7"/>
  <c r="S114" i="7" s="1"/>
  <c r="K114" i="7"/>
  <c r="J114" i="7"/>
  <c r="I114" i="7"/>
  <c r="E114" i="7"/>
  <c r="D114" i="7"/>
  <c r="C114" i="7"/>
  <c r="B114" i="7"/>
  <c r="AB113" i="7"/>
  <c r="AA113" i="7"/>
  <c r="Z113" i="7"/>
  <c r="Y113" i="7"/>
  <c r="N113" i="7"/>
  <c r="M113" i="7"/>
  <c r="L113" i="7"/>
  <c r="K113" i="7"/>
  <c r="J113" i="7"/>
  <c r="I113" i="7"/>
  <c r="E113" i="7"/>
  <c r="D113" i="7"/>
  <c r="C113" i="7"/>
  <c r="S113" i="7" s="1"/>
  <c r="B113" i="7"/>
  <c r="AB112" i="7"/>
  <c r="AA112" i="7"/>
  <c r="Z112" i="7"/>
  <c r="Y112" i="7"/>
  <c r="N112" i="7"/>
  <c r="M112" i="7"/>
  <c r="L112" i="7"/>
  <c r="J112" i="7"/>
  <c r="W112" i="7" s="1"/>
  <c r="I112" i="7"/>
  <c r="K112" i="7" s="1"/>
  <c r="E112" i="7"/>
  <c r="D112" i="7"/>
  <c r="C112" i="7"/>
  <c r="S112" i="7" s="1"/>
  <c r="T112" i="7" s="1"/>
  <c r="B112" i="7"/>
  <c r="AB111" i="7"/>
  <c r="AA111" i="7"/>
  <c r="Z111" i="7"/>
  <c r="Y111" i="7"/>
  <c r="L111" i="7"/>
  <c r="S111" i="7" s="1"/>
  <c r="T111" i="7" s="1"/>
  <c r="J111" i="7"/>
  <c r="U111" i="7" s="1"/>
  <c r="V111" i="7" s="1"/>
  <c r="I111" i="7"/>
  <c r="E111" i="7"/>
  <c r="D111" i="7"/>
  <c r="C111" i="7"/>
  <c r="B111" i="7"/>
  <c r="AB110" i="7"/>
  <c r="AA110" i="7"/>
  <c r="Z110" i="7"/>
  <c r="Y110" i="7"/>
  <c r="S110" i="7"/>
  <c r="L110" i="7"/>
  <c r="K110" i="7"/>
  <c r="I110" i="7"/>
  <c r="E110" i="7"/>
  <c r="D110" i="7"/>
  <c r="C110" i="7"/>
  <c r="B110" i="7"/>
  <c r="AB109" i="7"/>
  <c r="AA109" i="7"/>
  <c r="Z109" i="7"/>
  <c r="Y109" i="7"/>
  <c r="W109" i="7"/>
  <c r="U109" i="7"/>
  <c r="V109" i="7" s="1"/>
  <c r="S109" i="7"/>
  <c r="T109" i="7" s="1"/>
  <c r="N109" i="7"/>
  <c r="M109" i="7"/>
  <c r="J109" i="7"/>
  <c r="I109" i="7"/>
  <c r="L109" i="7" s="1"/>
  <c r="E109" i="7"/>
  <c r="D109" i="7"/>
  <c r="C109" i="7"/>
  <c r="B109" i="7"/>
  <c r="AB108" i="7"/>
  <c r="AA108" i="7"/>
  <c r="Z108" i="7"/>
  <c r="Y108" i="7"/>
  <c r="I108" i="7"/>
  <c r="E108" i="7"/>
  <c r="D108" i="7"/>
  <c r="C108" i="7"/>
  <c r="B108" i="7"/>
  <c r="AB107" i="7"/>
  <c r="AA107" i="7"/>
  <c r="Z107" i="7"/>
  <c r="Y107" i="7"/>
  <c r="W107" i="7"/>
  <c r="T107" i="7"/>
  <c r="N107" i="7"/>
  <c r="M107" i="7"/>
  <c r="L107" i="7"/>
  <c r="K107" i="7"/>
  <c r="I107" i="7"/>
  <c r="J107" i="7" s="1"/>
  <c r="U107" i="7" s="1"/>
  <c r="X107" i="7" s="1"/>
  <c r="E107" i="7"/>
  <c r="D107" i="7"/>
  <c r="C107" i="7"/>
  <c r="S107" i="7" s="1"/>
  <c r="B107" i="7"/>
  <c r="AB106" i="7"/>
  <c r="AA106" i="7"/>
  <c r="Z106" i="7"/>
  <c r="Y106" i="7"/>
  <c r="S106" i="7"/>
  <c r="T106" i="7" s="1"/>
  <c r="N106" i="7"/>
  <c r="M106" i="7"/>
  <c r="L106" i="7"/>
  <c r="K106" i="7"/>
  <c r="J106" i="7"/>
  <c r="I106" i="7"/>
  <c r="E106" i="7"/>
  <c r="D106" i="7"/>
  <c r="C106" i="7"/>
  <c r="B106" i="7"/>
  <c r="AB105" i="7"/>
  <c r="AA105" i="7"/>
  <c r="Z105" i="7"/>
  <c r="Y105" i="7"/>
  <c r="N105" i="7"/>
  <c r="L105" i="7"/>
  <c r="K105" i="7"/>
  <c r="J105" i="7"/>
  <c r="I105" i="7"/>
  <c r="M105" i="7" s="1"/>
  <c r="E105" i="7"/>
  <c r="D105" i="7"/>
  <c r="C105" i="7"/>
  <c r="S105" i="7" s="1"/>
  <c r="T105" i="7" s="1"/>
  <c r="B105" i="7"/>
  <c r="AB104" i="7"/>
  <c r="AA104" i="7"/>
  <c r="Z104" i="7"/>
  <c r="Y104" i="7"/>
  <c r="S104" i="7"/>
  <c r="N104" i="7"/>
  <c r="M104" i="7"/>
  <c r="L104" i="7"/>
  <c r="J104" i="7"/>
  <c r="W104" i="7" s="1"/>
  <c r="I104" i="7"/>
  <c r="K104" i="7" s="1"/>
  <c r="E104" i="7"/>
  <c r="D104" i="7"/>
  <c r="C104" i="7"/>
  <c r="B104" i="7"/>
  <c r="AB103" i="7"/>
  <c r="AA103" i="7"/>
  <c r="Z103" i="7"/>
  <c r="Y103" i="7"/>
  <c r="I103" i="7"/>
  <c r="K103" i="7" s="1"/>
  <c r="E103" i="7"/>
  <c r="D103" i="7"/>
  <c r="C103" i="7"/>
  <c r="B103" i="7"/>
  <c r="AB102" i="7"/>
  <c r="AA102" i="7"/>
  <c r="Z102" i="7"/>
  <c r="Y102" i="7"/>
  <c r="W102" i="7"/>
  <c r="N102" i="7"/>
  <c r="M102" i="7"/>
  <c r="L102" i="7"/>
  <c r="K102" i="7"/>
  <c r="J102" i="7"/>
  <c r="U102" i="7" s="1"/>
  <c r="V102" i="7" s="1"/>
  <c r="I102" i="7"/>
  <c r="E102" i="7"/>
  <c r="D102" i="7"/>
  <c r="C102" i="7"/>
  <c r="S102" i="7" s="1"/>
  <c r="T102" i="7" s="1"/>
  <c r="B102" i="7"/>
  <c r="AB101" i="7"/>
  <c r="AA101" i="7"/>
  <c r="Z101" i="7"/>
  <c r="Y101" i="7"/>
  <c r="M101" i="7"/>
  <c r="L101" i="7"/>
  <c r="S101" i="7" s="1"/>
  <c r="I101" i="7"/>
  <c r="N101" i="7" s="1"/>
  <c r="E101" i="7"/>
  <c r="D101" i="7"/>
  <c r="C101" i="7"/>
  <c r="B101" i="7"/>
  <c r="AB100" i="7"/>
  <c r="AA100" i="7"/>
  <c r="Z100" i="7"/>
  <c r="Y100" i="7"/>
  <c r="M100" i="7"/>
  <c r="L100" i="7"/>
  <c r="K100" i="7"/>
  <c r="I100" i="7"/>
  <c r="E100" i="7"/>
  <c r="D100" i="7"/>
  <c r="C100" i="7"/>
  <c r="S100" i="7" s="1"/>
  <c r="B100" i="7"/>
  <c r="AB99" i="7"/>
  <c r="AA99" i="7"/>
  <c r="Z99" i="7"/>
  <c r="Y99" i="7"/>
  <c r="W99" i="7"/>
  <c r="U99" i="7"/>
  <c r="V99" i="7" s="1"/>
  <c r="N99" i="7"/>
  <c r="M99" i="7"/>
  <c r="L99" i="7"/>
  <c r="S99" i="7" s="1"/>
  <c r="T99" i="7" s="1"/>
  <c r="K99" i="7"/>
  <c r="J99" i="7"/>
  <c r="I99" i="7"/>
  <c r="E99" i="7"/>
  <c r="D99" i="7"/>
  <c r="C99" i="7"/>
  <c r="B99" i="7"/>
  <c r="AB98" i="7"/>
  <c r="AA98" i="7"/>
  <c r="Z98" i="7"/>
  <c r="Y98" i="7"/>
  <c r="K98" i="7"/>
  <c r="J98" i="7"/>
  <c r="I98" i="7"/>
  <c r="E98" i="7"/>
  <c r="D98" i="7"/>
  <c r="C98" i="7"/>
  <c r="B98" i="7"/>
  <c r="AB97" i="7"/>
  <c r="AA97" i="7"/>
  <c r="Z97" i="7"/>
  <c r="Y97" i="7"/>
  <c r="U97" i="7"/>
  <c r="X97" i="7" s="1"/>
  <c r="N97" i="7"/>
  <c r="M97" i="7"/>
  <c r="L97" i="7"/>
  <c r="K97" i="7"/>
  <c r="J97" i="7"/>
  <c r="W97" i="7" s="1"/>
  <c r="I97" i="7"/>
  <c r="E97" i="7"/>
  <c r="D97" i="7"/>
  <c r="C97" i="7"/>
  <c r="S97" i="7" s="1"/>
  <c r="B97" i="7"/>
  <c r="AB96" i="7"/>
  <c r="AA96" i="7"/>
  <c r="Z96" i="7"/>
  <c r="Y96" i="7"/>
  <c r="J96" i="7"/>
  <c r="U96" i="7" s="1"/>
  <c r="I96" i="7"/>
  <c r="E96" i="7"/>
  <c r="D96" i="7"/>
  <c r="C96" i="7"/>
  <c r="B96" i="7"/>
  <c r="AB95" i="7"/>
  <c r="AA95" i="7"/>
  <c r="Z95" i="7"/>
  <c r="Y95" i="7"/>
  <c r="N95" i="7"/>
  <c r="M95" i="7"/>
  <c r="L95" i="7"/>
  <c r="I95" i="7"/>
  <c r="K95" i="7" s="1"/>
  <c r="E95" i="7"/>
  <c r="D95" i="7"/>
  <c r="C95" i="7"/>
  <c r="S95" i="7" s="1"/>
  <c r="B95" i="7"/>
  <c r="AB94" i="7"/>
  <c r="AA94" i="7"/>
  <c r="Z94" i="7"/>
  <c r="Y94" i="7"/>
  <c r="N94" i="7"/>
  <c r="K94" i="7"/>
  <c r="J94" i="7"/>
  <c r="I94" i="7"/>
  <c r="E94" i="7"/>
  <c r="D94" i="7"/>
  <c r="C94" i="7"/>
  <c r="B94" i="7"/>
  <c r="AB93" i="7"/>
  <c r="AA93" i="7"/>
  <c r="Z93" i="7"/>
  <c r="Y93" i="7"/>
  <c r="S93" i="7"/>
  <c r="N93" i="7"/>
  <c r="M93" i="7"/>
  <c r="K93" i="7"/>
  <c r="I93" i="7"/>
  <c r="L93" i="7" s="1"/>
  <c r="E93" i="7"/>
  <c r="D93" i="7"/>
  <c r="C93" i="7"/>
  <c r="B93" i="7"/>
  <c r="AB92" i="7"/>
  <c r="AA92" i="7"/>
  <c r="Z92" i="7"/>
  <c r="Y92" i="7"/>
  <c r="W92" i="7"/>
  <c r="U92" i="7"/>
  <c r="V92" i="7" s="1"/>
  <c r="S92" i="7"/>
  <c r="T92" i="7" s="1"/>
  <c r="N92" i="7"/>
  <c r="M92" i="7"/>
  <c r="L92" i="7"/>
  <c r="K92" i="7"/>
  <c r="J92" i="7"/>
  <c r="I92" i="7"/>
  <c r="E92" i="7"/>
  <c r="D92" i="7"/>
  <c r="C92" i="7"/>
  <c r="B92" i="7"/>
  <c r="AB91" i="7"/>
  <c r="AA91" i="7"/>
  <c r="Z91" i="7"/>
  <c r="Y91" i="7"/>
  <c r="M91" i="7"/>
  <c r="I91" i="7"/>
  <c r="E91" i="7"/>
  <c r="D91" i="7"/>
  <c r="C91" i="7"/>
  <c r="B91" i="7"/>
  <c r="AB90" i="7"/>
  <c r="AA90" i="7"/>
  <c r="Z90" i="7"/>
  <c r="Y90" i="7"/>
  <c r="W90" i="7"/>
  <c r="U90" i="7"/>
  <c r="X90" i="7" s="1"/>
  <c r="S90" i="7"/>
  <c r="T90" i="7" s="1"/>
  <c r="N90" i="7"/>
  <c r="M90" i="7"/>
  <c r="L90" i="7"/>
  <c r="K90" i="7"/>
  <c r="J90" i="7"/>
  <c r="I90" i="7"/>
  <c r="E90" i="7"/>
  <c r="D90" i="7"/>
  <c r="C90" i="7"/>
  <c r="B90" i="7"/>
  <c r="AB89" i="7"/>
  <c r="AA89" i="7"/>
  <c r="Z89" i="7"/>
  <c r="Y89" i="7"/>
  <c r="S89" i="7"/>
  <c r="N89" i="7"/>
  <c r="M89" i="7"/>
  <c r="L89" i="7"/>
  <c r="I89" i="7"/>
  <c r="K89" i="7" s="1"/>
  <c r="E89" i="7"/>
  <c r="D89" i="7"/>
  <c r="C89" i="7"/>
  <c r="B89" i="7"/>
  <c r="AB88" i="7"/>
  <c r="AA88" i="7"/>
  <c r="Z88" i="7"/>
  <c r="Y88" i="7"/>
  <c r="I88" i="7"/>
  <c r="E88" i="7"/>
  <c r="D88" i="7"/>
  <c r="C88" i="7"/>
  <c r="B88" i="7"/>
  <c r="AB87" i="7"/>
  <c r="AA87" i="7"/>
  <c r="Z87" i="7"/>
  <c r="Y87" i="7"/>
  <c r="W87" i="7"/>
  <c r="N87" i="7"/>
  <c r="J87" i="7"/>
  <c r="U87" i="7" s="1"/>
  <c r="I87" i="7"/>
  <c r="E87" i="7"/>
  <c r="D87" i="7"/>
  <c r="C87" i="7"/>
  <c r="B87" i="7"/>
  <c r="AB86" i="7"/>
  <c r="AA86" i="7"/>
  <c r="Z86" i="7"/>
  <c r="Y86" i="7"/>
  <c r="I86" i="7"/>
  <c r="K86" i="7" s="1"/>
  <c r="E86" i="7"/>
  <c r="D86" i="7"/>
  <c r="C86" i="7"/>
  <c r="B86" i="7"/>
  <c r="AB85" i="7"/>
  <c r="AA85" i="7"/>
  <c r="Z85" i="7"/>
  <c r="Y85" i="7"/>
  <c r="I85" i="7"/>
  <c r="L85" i="7" s="1"/>
  <c r="E85" i="7"/>
  <c r="D85" i="7"/>
  <c r="C85" i="7"/>
  <c r="B85" i="7"/>
  <c r="AB84" i="7"/>
  <c r="AA84" i="7"/>
  <c r="Z84" i="7"/>
  <c r="Y84" i="7"/>
  <c r="L84" i="7"/>
  <c r="S84" i="7" s="1"/>
  <c r="K84" i="7"/>
  <c r="I84" i="7"/>
  <c r="E84" i="7"/>
  <c r="D84" i="7"/>
  <c r="C84" i="7"/>
  <c r="B84" i="7"/>
  <c r="AB83" i="7"/>
  <c r="AA83" i="7"/>
  <c r="Z83" i="7"/>
  <c r="Y83" i="7"/>
  <c r="S83" i="7"/>
  <c r="T83" i="7" s="1"/>
  <c r="N83" i="7"/>
  <c r="M83" i="7"/>
  <c r="L83" i="7"/>
  <c r="K83" i="7"/>
  <c r="J83" i="7"/>
  <c r="I83" i="7"/>
  <c r="E83" i="7"/>
  <c r="D83" i="7"/>
  <c r="C83" i="7"/>
  <c r="B83" i="7"/>
  <c r="AB82" i="7"/>
  <c r="AA82" i="7"/>
  <c r="Z82" i="7"/>
  <c r="Y82" i="7"/>
  <c r="I82" i="7"/>
  <c r="L82" i="7" s="1"/>
  <c r="S82" i="7" s="1"/>
  <c r="E82" i="7"/>
  <c r="D82" i="7"/>
  <c r="C82" i="7"/>
  <c r="B82" i="7"/>
  <c r="AB81" i="7"/>
  <c r="AA81" i="7"/>
  <c r="Z81" i="7"/>
  <c r="Y81" i="7"/>
  <c r="W81" i="7"/>
  <c r="N81" i="7"/>
  <c r="M81" i="7"/>
  <c r="L81" i="7"/>
  <c r="K81" i="7"/>
  <c r="J81" i="7"/>
  <c r="U81" i="7" s="1"/>
  <c r="I81" i="7"/>
  <c r="E81" i="7"/>
  <c r="D81" i="7"/>
  <c r="C81" i="7"/>
  <c r="B81" i="7"/>
  <c r="AB80" i="7"/>
  <c r="AA80" i="7"/>
  <c r="Z80" i="7"/>
  <c r="Y80" i="7"/>
  <c r="I80" i="7"/>
  <c r="M80" i="7" s="1"/>
  <c r="E80" i="7"/>
  <c r="D80" i="7"/>
  <c r="C80" i="7"/>
  <c r="B80" i="7"/>
  <c r="AB79" i="7"/>
  <c r="AA79" i="7"/>
  <c r="Z79" i="7"/>
  <c r="Y79" i="7"/>
  <c r="L79" i="7"/>
  <c r="S79" i="7" s="1"/>
  <c r="K79" i="7"/>
  <c r="I79" i="7"/>
  <c r="E79" i="7"/>
  <c r="D79" i="7"/>
  <c r="C79" i="7"/>
  <c r="B79" i="7"/>
  <c r="AB78" i="7"/>
  <c r="AA78" i="7"/>
  <c r="Z78" i="7"/>
  <c r="Y78" i="7"/>
  <c r="N78" i="7"/>
  <c r="M78" i="7"/>
  <c r="L78" i="7"/>
  <c r="K78" i="7"/>
  <c r="I78" i="7"/>
  <c r="J78" i="7" s="1"/>
  <c r="U78" i="7" s="1"/>
  <c r="V78" i="7" s="1"/>
  <c r="E78" i="7"/>
  <c r="D78" i="7"/>
  <c r="C78" i="7"/>
  <c r="S78" i="7" s="1"/>
  <c r="T78" i="7" s="1"/>
  <c r="B78" i="7"/>
  <c r="AB77" i="7"/>
  <c r="AA77" i="7"/>
  <c r="Z77" i="7"/>
  <c r="Y77" i="7"/>
  <c r="I77" i="7"/>
  <c r="E77" i="7"/>
  <c r="D77" i="7"/>
  <c r="C77" i="7"/>
  <c r="B77" i="7"/>
  <c r="AB76" i="7"/>
  <c r="AA76" i="7"/>
  <c r="Z76" i="7"/>
  <c r="Y76" i="7"/>
  <c r="I76" i="7"/>
  <c r="E76" i="7"/>
  <c r="D76" i="7"/>
  <c r="C76" i="7"/>
  <c r="B76" i="7"/>
  <c r="AB75" i="7"/>
  <c r="AA75" i="7"/>
  <c r="Z75" i="7"/>
  <c r="Y75" i="7"/>
  <c r="U75" i="7"/>
  <c r="V75" i="7" s="1"/>
  <c r="S75" i="7"/>
  <c r="T75" i="7" s="1"/>
  <c r="N75" i="7"/>
  <c r="M75" i="7"/>
  <c r="L75" i="7"/>
  <c r="K75" i="7"/>
  <c r="J75" i="7"/>
  <c r="W75" i="7" s="1"/>
  <c r="I75" i="7"/>
  <c r="E75" i="7"/>
  <c r="D75" i="7"/>
  <c r="C75" i="7"/>
  <c r="B75" i="7"/>
  <c r="AB74" i="7"/>
  <c r="AA74" i="7"/>
  <c r="Z74" i="7"/>
  <c r="Y74" i="7"/>
  <c r="S74" i="7"/>
  <c r="T74" i="7" s="1"/>
  <c r="M74" i="7"/>
  <c r="L74" i="7"/>
  <c r="K74" i="7"/>
  <c r="J74" i="7"/>
  <c r="I74" i="7"/>
  <c r="N74" i="7" s="1"/>
  <c r="E74" i="7"/>
  <c r="D74" i="7"/>
  <c r="C74" i="7"/>
  <c r="B74" i="7"/>
  <c r="AB73" i="7"/>
  <c r="AA73" i="7"/>
  <c r="Z73" i="7"/>
  <c r="Y73" i="7"/>
  <c r="W73" i="7"/>
  <c r="U73" i="7"/>
  <c r="V73" i="7" s="1"/>
  <c r="N73" i="7"/>
  <c r="M73" i="7"/>
  <c r="K73" i="7"/>
  <c r="J73" i="7"/>
  <c r="I73" i="7"/>
  <c r="L73" i="7" s="1"/>
  <c r="E73" i="7"/>
  <c r="D73" i="7"/>
  <c r="C73" i="7"/>
  <c r="S73" i="7" s="1"/>
  <c r="T73" i="7" s="1"/>
  <c r="B73" i="7"/>
  <c r="AB72" i="7"/>
  <c r="AA72" i="7"/>
  <c r="Z72" i="7"/>
  <c r="Y72" i="7"/>
  <c r="I72" i="7"/>
  <c r="J72" i="7" s="1"/>
  <c r="E72" i="7"/>
  <c r="D72" i="7"/>
  <c r="C72" i="7"/>
  <c r="B72" i="7"/>
  <c r="AB71" i="7"/>
  <c r="AA71" i="7"/>
  <c r="Z71" i="7"/>
  <c r="Y71" i="7"/>
  <c r="I71" i="7"/>
  <c r="E71" i="7"/>
  <c r="D71" i="7"/>
  <c r="C71" i="7"/>
  <c r="B71" i="7"/>
  <c r="AB70" i="7"/>
  <c r="AA70" i="7"/>
  <c r="Z70" i="7"/>
  <c r="Y70" i="7"/>
  <c r="W70" i="7"/>
  <c r="M70" i="7"/>
  <c r="L70" i="7"/>
  <c r="S70" i="7" s="1"/>
  <c r="J70" i="7"/>
  <c r="U70" i="7" s="1"/>
  <c r="X70" i="7" s="1"/>
  <c r="I70" i="7"/>
  <c r="K70" i="7" s="1"/>
  <c r="E70" i="7"/>
  <c r="D70" i="7"/>
  <c r="C70" i="7"/>
  <c r="B70" i="7"/>
  <c r="AB69" i="7"/>
  <c r="AA69" i="7"/>
  <c r="Z69" i="7"/>
  <c r="Y69" i="7"/>
  <c r="N69" i="7"/>
  <c r="M69" i="7"/>
  <c r="L69" i="7"/>
  <c r="S69" i="7" s="1"/>
  <c r="T69" i="7" s="1"/>
  <c r="K69" i="7"/>
  <c r="J69" i="7"/>
  <c r="I69" i="7"/>
  <c r="E69" i="7"/>
  <c r="D69" i="7"/>
  <c r="C69" i="7"/>
  <c r="B69" i="7"/>
  <c r="AB68" i="7"/>
  <c r="AA68" i="7"/>
  <c r="Z68" i="7"/>
  <c r="Y68" i="7"/>
  <c r="N68" i="7"/>
  <c r="L68" i="7"/>
  <c r="I68" i="7"/>
  <c r="M68" i="7" s="1"/>
  <c r="E68" i="7"/>
  <c r="D68" i="7"/>
  <c r="C68" i="7"/>
  <c r="S68" i="7" s="1"/>
  <c r="B68" i="7"/>
  <c r="AB67" i="7"/>
  <c r="AA67" i="7"/>
  <c r="Z67" i="7"/>
  <c r="Y67" i="7"/>
  <c r="M67" i="7"/>
  <c r="K67" i="7"/>
  <c r="J67" i="7"/>
  <c r="W67" i="7" s="1"/>
  <c r="I67" i="7"/>
  <c r="L67" i="7" s="1"/>
  <c r="E67" i="7"/>
  <c r="D67" i="7"/>
  <c r="C67" i="7"/>
  <c r="S67" i="7" s="1"/>
  <c r="B67" i="7"/>
  <c r="AB66" i="7"/>
  <c r="AA66" i="7"/>
  <c r="Z66" i="7"/>
  <c r="Y66" i="7"/>
  <c r="M66" i="7"/>
  <c r="J66" i="7"/>
  <c r="I66" i="7"/>
  <c r="E66" i="7"/>
  <c r="D66" i="7"/>
  <c r="C66" i="7"/>
  <c r="B66" i="7"/>
  <c r="AB65" i="7"/>
  <c r="AA65" i="7"/>
  <c r="Z65" i="7"/>
  <c r="Y65" i="7"/>
  <c r="I65" i="7"/>
  <c r="N65" i="7" s="1"/>
  <c r="E65" i="7"/>
  <c r="D65" i="7"/>
  <c r="C65" i="7"/>
  <c r="B65" i="7"/>
  <c r="AB64" i="7"/>
  <c r="AA64" i="7"/>
  <c r="Z64" i="7"/>
  <c r="Y64" i="7"/>
  <c r="W64" i="7"/>
  <c r="M64" i="7"/>
  <c r="L64" i="7"/>
  <c r="J64" i="7"/>
  <c r="U64" i="7" s="1"/>
  <c r="V64" i="7" s="1"/>
  <c r="I64" i="7"/>
  <c r="K64" i="7" s="1"/>
  <c r="E64" i="7"/>
  <c r="D64" i="7"/>
  <c r="C64" i="7"/>
  <c r="B64" i="7"/>
  <c r="AB63" i="7"/>
  <c r="AA63" i="7"/>
  <c r="Z63" i="7"/>
  <c r="Y63" i="7"/>
  <c r="I63" i="7"/>
  <c r="J63" i="7" s="1"/>
  <c r="E63" i="7"/>
  <c r="D63" i="7"/>
  <c r="C63" i="7"/>
  <c r="B63" i="7"/>
  <c r="AB62" i="7"/>
  <c r="AA62" i="7"/>
  <c r="Z62" i="7"/>
  <c r="Y62" i="7"/>
  <c r="U62" i="7"/>
  <c r="X62" i="7" s="1"/>
  <c r="N62" i="7"/>
  <c r="M62" i="7"/>
  <c r="L62" i="7"/>
  <c r="S62" i="7" s="1"/>
  <c r="K62" i="7"/>
  <c r="I62" i="7"/>
  <c r="J62" i="7" s="1"/>
  <c r="W62" i="7" s="1"/>
  <c r="E62" i="7"/>
  <c r="D62" i="7"/>
  <c r="C62" i="7"/>
  <c r="B62" i="7"/>
  <c r="AB61" i="7"/>
  <c r="AA61" i="7"/>
  <c r="Z61" i="7"/>
  <c r="Y61" i="7"/>
  <c r="M61" i="7"/>
  <c r="L61" i="7"/>
  <c r="K61" i="7"/>
  <c r="I61" i="7"/>
  <c r="E61" i="7"/>
  <c r="D61" i="7"/>
  <c r="C61" i="7"/>
  <c r="S61" i="7" s="1"/>
  <c r="B61" i="7"/>
  <c r="AB60" i="7"/>
  <c r="AA60" i="7"/>
  <c r="Z60" i="7"/>
  <c r="Y60" i="7"/>
  <c r="I60" i="7"/>
  <c r="L60" i="7" s="1"/>
  <c r="S60" i="7" s="1"/>
  <c r="E60" i="7"/>
  <c r="D60" i="7"/>
  <c r="C60" i="7"/>
  <c r="B60" i="7"/>
  <c r="AB59" i="7"/>
  <c r="AA59" i="7"/>
  <c r="Z59" i="7"/>
  <c r="Y59" i="7"/>
  <c r="N59" i="7"/>
  <c r="M59" i="7"/>
  <c r="L59" i="7"/>
  <c r="K59" i="7"/>
  <c r="J59" i="7"/>
  <c r="W59" i="7" s="1"/>
  <c r="I59" i="7"/>
  <c r="E59" i="7"/>
  <c r="D59" i="7"/>
  <c r="C59" i="7"/>
  <c r="S59" i="7" s="1"/>
  <c r="T59" i="7" s="1"/>
  <c r="B59" i="7"/>
  <c r="AB58" i="7"/>
  <c r="AA58" i="7"/>
  <c r="Z58" i="7"/>
  <c r="Y58" i="7"/>
  <c r="W58" i="7"/>
  <c r="N58" i="7"/>
  <c r="L58" i="7"/>
  <c r="K58" i="7"/>
  <c r="J58" i="7"/>
  <c r="U58" i="7" s="1"/>
  <c r="I58" i="7"/>
  <c r="M58" i="7" s="1"/>
  <c r="E58" i="7"/>
  <c r="D58" i="7"/>
  <c r="C58" i="7"/>
  <c r="B58" i="7"/>
  <c r="AB57" i="7"/>
  <c r="AA57" i="7"/>
  <c r="Z57" i="7"/>
  <c r="Y57" i="7"/>
  <c r="N57" i="7"/>
  <c r="M57" i="7"/>
  <c r="L57" i="7"/>
  <c r="S57" i="7" s="1"/>
  <c r="K57" i="7"/>
  <c r="I57" i="7"/>
  <c r="J57" i="7" s="1"/>
  <c r="W57" i="7" s="1"/>
  <c r="E57" i="7"/>
  <c r="D57" i="7"/>
  <c r="C57" i="7"/>
  <c r="B57" i="7"/>
  <c r="AB56" i="7"/>
  <c r="AA56" i="7"/>
  <c r="Z56" i="7"/>
  <c r="Y56" i="7"/>
  <c r="M56" i="7"/>
  <c r="L56" i="7"/>
  <c r="S56" i="7" s="1"/>
  <c r="T56" i="7" s="1"/>
  <c r="K56" i="7"/>
  <c r="J56" i="7"/>
  <c r="I56" i="7"/>
  <c r="N56" i="7" s="1"/>
  <c r="E56" i="7"/>
  <c r="D56" i="7"/>
  <c r="C56" i="7"/>
  <c r="B56" i="7"/>
  <c r="AB55" i="7"/>
  <c r="AA55" i="7"/>
  <c r="Z55" i="7"/>
  <c r="Y55" i="7"/>
  <c r="I55" i="7"/>
  <c r="E55" i="7"/>
  <c r="D55" i="7"/>
  <c r="C55" i="7"/>
  <c r="B55" i="7"/>
  <c r="AB54" i="7"/>
  <c r="AA54" i="7"/>
  <c r="Z54" i="7"/>
  <c r="Y54" i="7"/>
  <c r="N54" i="7"/>
  <c r="I54" i="7"/>
  <c r="K54" i="7" s="1"/>
  <c r="E54" i="7"/>
  <c r="D54" i="7"/>
  <c r="C54" i="7"/>
  <c r="B54" i="7"/>
  <c r="AB53" i="7"/>
  <c r="AA53" i="7"/>
  <c r="Z53" i="7"/>
  <c r="Y53" i="7"/>
  <c r="I53" i="7"/>
  <c r="L53" i="7" s="1"/>
  <c r="E53" i="7"/>
  <c r="D53" i="7"/>
  <c r="C53" i="7"/>
  <c r="S53" i="7" s="1"/>
  <c r="B53" i="7"/>
  <c r="AB52" i="7"/>
  <c r="AA52" i="7"/>
  <c r="Z52" i="7"/>
  <c r="Y52" i="7"/>
  <c r="M52" i="7"/>
  <c r="L52" i="7"/>
  <c r="I52" i="7"/>
  <c r="E52" i="7"/>
  <c r="D52" i="7"/>
  <c r="C52" i="7"/>
  <c r="B52" i="7"/>
  <c r="AB51" i="7"/>
  <c r="AA51" i="7"/>
  <c r="Z51" i="7"/>
  <c r="Y51" i="7"/>
  <c r="I51" i="7"/>
  <c r="E51" i="7"/>
  <c r="D51" i="7"/>
  <c r="C51" i="7"/>
  <c r="B51" i="7"/>
  <c r="AB50" i="7"/>
  <c r="AA50" i="7"/>
  <c r="Z50" i="7"/>
  <c r="Y50" i="7"/>
  <c r="W50" i="7"/>
  <c r="N50" i="7"/>
  <c r="M50" i="7"/>
  <c r="L50" i="7"/>
  <c r="J50" i="7"/>
  <c r="U50" i="7" s="1"/>
  <c r="I50" i="7"/>
  <c r="K50" i="7" s="1"/>
  <c r="E50" i="7"/>
  <c r="D50" i="7"/>
  <c r="C50" i="7"/>
  <c r="B50" i="7"/>
  <c r="AB49" i="7"/>
  <c r="AA49" i="7"/>
  <c r="Z49" i="7"/>
  <c r="Y49" i="7"/>
  <c r="I49" i="7"/>
  <c r="N49" i="7" s="1"/>
  <c r="E49" i="7"/>
  <c r="D49" i="7"/>
  <c r="C49" i="7"/>
  <c r="B49" i="7"/>
  <c r="AB48" i="7"/>
  <c r="AA48" i="7"/>
  <c r="Z48" i="7"/>
  <c r="Y48" i="7"/>
  <c r="I48" i="7"/>
  <c r="M48" i="7" s="1"/>
  <c r="E48" i="7"/>
  <c r="D48" i="7"/>
  <c r="C48" i="7"/>
  <c r="B48" i="7"/>
  <c r="AB47" i="7"/>
  <c r="AA47" i="7"/>
  <c r="Z47" i="7"/>
  <c r="Y47" i="7"/>
  <c r="W47" i="7"/>
  <c r="I47" i="7"/>
  <c r="J47" i="7" s="1"/>
  <c r="U47" i="7" s="1"/>
  <c r="E47" i="7"/>
  <c r="D47" i="7"/>
  <c r="C47" i="7"/>
  <c r="B47" i="7"/>
  <c r="AB46" i="7"/>
  <c r="AA46" i="7"/>
  <c r="Z46" i="7"/>
  <c r="Y46" i="7"/>
  <c r="I46" i="7"/>
  <c r="E46" i="7"/>
  <c r="D46" i="7"/>
  <c r="C46" i="7"/>
  <c r="B46" i="7"/>
  <c r="N45" i="7"/>
  <c r="J45" i="7"/>
  <c r="W45" i="7" s="1"/>
  <c r="I45" i="7"/>
  <c r="E45" i="7"/>
  <c r="D45" i="7"/>
  <c r="C45" i="7"/>
  <c r="B45" i="7"/>
  <c r="M44" i="7"/>
  <c r="K44" i="7"/>
  <c r="I44" i="7"/>
  <c r="J44" i="7" s="1"/>
  <c r="U44" i="7" s="1"/>
  <c r="E44" i="7"/>
  <c r="D44" i="7"/>
  <c r="C44" i="7"/>
  <c r="B44" i="7"/>
  <c r="I43" i="7"/>
  <c r="E43" i="7"/>
  <c r="D43" i="7"/>
  <c r="C43" i="7"/>
  <c r="B43" i="7"/>
  <c r="I42" i="7"/>
  <c r="M42" i="7" s="1"/>
  <c r="E42" i="7"/>
  <c r="D42" i="7"/>
  <c r="C42" i="7"/>
  <c r="B42" i="7"/>
  <c r="W41" i="7"/>
  <c r="K41" i="7"/>
  <c r="J41" i="7"/>
  <c r="U41" i="7" s="1"/>
  <c r="I41" i="7"/>
  <c r="E41" i="7"/>
  <c r="D41" i="7"/>
  <c r="C41" i="7"/>
  <c r="B41" i="7"/>
  <c r="I40" i="7"/>
  <c r="E40" i="7"/>
  <c r="D40" i="7"/>
  <c r="C40" i="7"/>
  <c r="B40" i="7"/>
  <c r="I39" i="7"/>
  <c r="E39" i="7"/>
  <c r="D39" i="7"/>
  <c r="C39" i="7"/>
  <c r="B39" i="7"/>
  <c r="N38" i="7"/>
  <c r="M38" i="7"/>
  <c r="I38" i="7"/>
  <c r="K38" i="7" s="1"/>
  <c r="E38" i="7"/>
  <c r="D38" i="7"/>
  <c r="L38" i="7" s="1"/>
  <c r="C38" i="7"/>
  <c r="B38" i="7"/>
  <c r="K37" i="7"/>
  <c r="J37" i="7"/>
  <c r="W37" i="7" s="1"/>
  <c r="I37" i="7"/>
  <c r="E37" i="7"/>
  <c r="D37" i="7"/>
  <c r="C37" i="7"/>
  <c r="B37" i="7"/>
  <c r="U36" i="7"/>
  <c r="I36" i="7"/>
  <c r="J36" i="7" s="1"/>
  <c r="W36" i="7" s="1"/>
  <c r="E36" i="7"/>
  <c r="D36" i="7"/>
  <c r="C36" i="7"/>
  <c r="B36" i="7"/>
  <c r="K35" i="7"/>
  <c r="I35" i="7"/>
  <c r="E35" i="7"/>
  <c r="D35" i="7"/>
  <c r="C35" i="7"/>
  <c r="B35" i="7"/>
  <c r="W34" i="7"/>
  <c r="U34" i="7"/>
  <c r="K34" i="7"/>
  <c r="J34" i="7"/>
  <c r="I34" i="7"/>
  <c r="E34" i="7"/>
  <c r="D34" i="7"/>
  <c r="C34" i="7"/>
  <c r="B34" i="7"/>
  <c r="I33" i="7"/>
  <c r="E33" i="7"/>
  <c r="D33" i="7"/>
  <c r="C33" i="7"/>
  <c r="B33" i="7"/>
  <c r="K32" i="7"/>
  <c r="L32" i="7" s="1"/>
  <c r="I32" i="7"/>
  <c r="J32" i="7" s="1"/>
  <c r="E32" i="7"/>
  <c r="D32" i="7"/>
  <c r="C32" i="7"/>
  <c r="B32" i="7"/>
  <c r="I31" i="7"/>
  <c r="E31" i="7"/>
  <c r="D31" i="7"/>
  <c r="C31" i="7"/>
  <c r="B31" i="7"/>
  <c r="K30" i="7"/>
  <c r="I30" i="7"/>
  <c r="J30" i="7" s="1"/>
  <c r="E30" i="7"/>
  <c r="D30" i="7"/>
  <c r="B30" i="7"/>
  <c r="I29" i="7"/>
  <c r="J29" i="7" s="1"/>
  <c r="W29" i="7" s="1"/>
  <c r="E29" i="7"/>
  <c r="D29" i="7"/>
  <c r="C29" i="7"/>
  <c r="B29" i="7"/>
  <c r="K28" i="7"/>
  <c r="J28" i="7"/>
  <c r="U28" i="7" s="1"/>
  <c r="I28" i="7"/>
  <c r="E28" i="7"/>
  <c r="D28" i="7"/>
  <c r="C28" i="7"/>
  <c r="B28" i="7"/>
  <c r="W27" i="7"/>
  <c r="U27" i="7"/>
  <c r="K27" i="7"/>
  <c r="J27" i="7"/>
  <c r="I27" i="7"/>
  <c r="E27" i="7"/>
  <c r="D27" i="7"/>
  <c r="C27" i="7"/>
  <c r="B27" i="7"/>
  <c r="I26" i="7"/>
  <c r="K26" i="7" s="1"/>
  <c r="E26" i="7"/>
  <c r="D26" i="7"/>
  <c r="C26" i="7"/>
  <c r="B26" i="7"/>
  <c r="I25" i="7"/>
  <c r="E25" i="7"/>
  <c r="D25" i="7"/>
  <c r="C25" i="7"/>
  <c r="B25" i="7"/>
  <c r="I24" i="7"/>
  <c r="M24" i="7" s="1"/>
  <c r="E24" i="7"/>
  <c r="D24" i="7"/>
  <c r="C24" i="7"/>
  <c r="B24" i="7"/>
  <c r="I23" i="7"/>
  <c r="K23" i="7" s="1"/>
  <c r="E23" i="7"/>
  <c r="D23" i="7"/>
  <c r="C23" i="7"/>
  <c r="B23" i="7"/>
  <c r="K22" i="7"/>
  <c r="L22" i="7" s="1"/>
  <c r="S22" i="7" s="1"/>
  <c r="I22" i="7"/>
  <c r="E22" i="7"/>
  <c r="D22" i="7"/>
  <c r="C22" i="7"/>
  <c r="B22" i="7"/>
  <c r="K21" i="7"/>
  <c r="J21" i="7"/>
  <c r="W21" i="7" s="1"/>
  <c r="I21" i="7"/>
  <c r="E21" i="7"/>
  <c r="D21" i="7"/>
  <c r="C21" i="7"/>
  <c r="B21" i="7"/>
  <c r="I20" i="7"/>
  <c r="N20" i="7" s="1"/>
  <c r="E20" i="7"/>
  <c r="D20" i="7"/>
  <c r="C20" i="7"/>
  <c r="B20" i="7"/>
  <c r="N19" i="7"/>
  <c r="J19" i="7"/>
  <c r="W19" i="7" s="1"/>
  <c r="I19" i="7"/>
  <c r="K19" i="7" s="1"/>
  <c r="E19" i="7"/>
  <c r="D19" i="7"/>
  <c r="L19" i="7" s="1"/>
  <c r="S19" i="7" s="1"/>
  <c r="T19" i="7" s="1"/>
  <c r="C19" i="7"/>
  <c r="B19" i="7"/>
  <c r="I18" i="7"/>
  <c r="M18" i="7" s="1"/>
  <c r="E18" i="7"/>
  <c r="D18" i="7"/>
  <c r="C18" i="7"/>
  <c r="B18" i="7"/>
  <c r="N17" i="7"/>
  <c r="I17" i="7"/>
  <c r="M17" i="7" s="1"/>
  <c r="E17" i="7"/>
  <c r="D17" i="7"/>
  <c r="C17" i="7"/>
  <c r="B17" i="7"/>
  <c r="M16" i="7"/>
  <c r="K16" i="7"/>
  <c r="L16" i="7" s="1"/>
  <c r="J16" i="7"/>
  <c r="W16" i="7" s="1"/>
  <c r="I16" i="7"/>
  <c r="E16" i="7"/>
  <c r="D16" i="7"/>
  <c r="C16" i="7"/>
  <c r="B16" i="7"/>
  <c r="K15" i="7"/>
  <c r="I15" i="7"/>
  <c r="E15" i="7"/>
  <c r="D15" i="7"/>
  <c r="C15" i="7"/>
  <c r="B15" i="7"/>
  <c r="W14" i="7"/>
  <c r="U14" i="7"/>
  <c r="N14" i="7"/>
  <c r="M14" i="7"/>
  <c r="K14" i="7"/>
  <c r="J14" i="7"/>
  <c r="I14" i="7"/>
  <c r="E14" i="7"/>
  <c r="D14" i="7"/>
  <c r="C14" i="7"/>
  <c r="B14" i="7"/>
  <c r="I13" i="7"/>
  <c r="E13" i="7"/>
  <c r="D13" i="7"/>
  <c r="C13" i="7"/>
  <c r="B13" i="7"/>
  <c r="U12" i="7"/>
  <c r="N12" i="7"/>
  <c r="M12" i="7"/>
  <c r="J12" i="7"/>
  <c r="W12" i="7" s="1"/>
  <c r="I12" i="7"/>
  <c r="E12" i="7"/>
  <c r="D12" i="7"/>
  <c r="C12" i="7"/>
  <c r="B12" i="7"/>
  <c r="I11" i="7"/>
  <c r="E11" i="7"/>
  <c r="D11" i="7"/>
  <c r="C11" i="7"/>
  <c r="B11" i="7"/>
  <c r="I10" i="7"/>
  <c r="E10" i="7"/>
  <c r="D10" i="7"/>
  <c r="C10" i="7"/>
  <c r="B10" i="7"/>
  <c r="U9" i="7"/>
  <c r="N9" i="7"/>
  <c r="J9" i="7"/>
  <c r="W9" i="7" s="1"/>
  <c r="I9" i="7"/>
  <c r="E9" i="7"/>
  <c r="D9" i="7"/>
  <c r="C9" i="7"/>
  <c r="B9" i="7"/>
  <c r="I8" i="7"/>
  <c r="J8" i="7" s="1"/>
  <c r="E8" i="7"/>
  <c r="D8" i="7"/>
  <c r="C8" i="7"/>
  <c r="B8" i="7"/>
  <c r="W7" i="7"/>
  <c r="K7" i="7"/>
  <c r="L7" i="7" s="1"/>
  <c r="J7" i="7"/>
  <c r="U7" i="7" s="1"/>
  <c r="I7" i="7"/>
  <c r="E7" i="7"/>
  <c r="D7" i="7"/>
  <c r="C7" i="7"/>
  <c r="B7" i="7"/>
  <c r="W6" i="7"/>
  <c r="U6" i="7"/>
  <c r="M6" i="7"/>
  <c r="J6" i="7"/>
  <c r="I6" i="7"/>
  <c r="K6" i="7" s="1"/>
  <c r="E6" i="7"/>
  <c r="L6" i="7" s="1"/>
  <c r="D6" i="7"/>
  <c r="C6" i="7"/>
  <c r="B6" i="7"/>
  <c r="I5" i="7"/>
  <c r="E5" i="7"/>
  <c r="D5" i="7"/>
  <c r="C5" i="7"/>
  <c r="B5" i="7"/>
  <c r="AB4" i="7"/>
  <c r="W4" i="7"/>
  <c r="V4" i="7"/>
  <c r="U4" i="7"/>
  <c r="I4" i="7"/>
  <c r="E4" i="7"/>
  <c r="D4" i="7"/>
  <c r="C4" i="7"/>
  <c r="B4" i="7"/>
  <c r="G75" i="5"/>
  <c r="E75" i="5"/>
  <c r="G74" i="5"/>
  <c r="E74" i="5"/>
  <c r="G73" i="5"/>
  <c r="E73" i="5"/>
  <c r="G72" i="5"/>
  <c r="E72" i="5"/>
  <c r="G71" i="5"/>
  <c r="E71" i="5"/>
  <c r="G70" i="5"/>
  <c r="E70" i="5"/>
  <c r="G69" i="5"/>
  <c r="E69" i="5"/>
  <c r="G68" i="5"/>
  <c r="E68" i="5"/>
  <c r="G67" i="5"/>
  <c r="E67" i="5"/>
  <c r="G66" i="5"/>
  <c r="E66" i="5"/>
  <c r="G65" i="5"/>
  <c r="E65" i="5"/>
  <c r="G64" i="5"/>
  <c r="E64" i="5"/>
  <c r="G63" i="5"/>
  <c r="E63" i="5"/>
  <c r="G62" i="5"/>
  <c r="E62" i="5"/>
  <c r="G61" i="5"/>
  <c r="E61" i="5"/>
  <c r="G60" i="5"/>
  <c r="E60" i="5"/>
  <c r="G59" i="5"/>
  <c r="E59" i="5"/>
  <c r="G58" i="5"/>
  <c r="E58" i="5"/>
  <c r="G57" i="5"/>
  <c r="E57" i="5"/>
  <c r="G56" i="5"/>
  <c r="E56" i="5"/>
  <c r="G55" i="5"/>
  <c r="E55" i="5"/>
  <c r="G54" i="5"/>
  <c r="E54" i="5"/>
  <c r="G53" i="5"/>
  <c r="E53" i="5"/>
  <c r="G52" i="5"/>
  <c r="E52" i="5"/>
  <c r="G51" i="5"/>
  <c r="E51" i="5"/>
  <c r="G50" i="5"/>
  <c r="E50" i="5"/>
  <c r="G49" i="5"/>
  <c r="E49" i="5"/>
  <c r="G48" i="5"/>
  <c r="E48" i="5"/>
  <c r="G47" i="5"/>
  <c r="E47" i="5"/>
  <c r="G46" i="5"/>
  <c r="E46" i="5"/>
  <c r="G45" i="5"/>
  <c r="E45" i="5"/>
  <c r="G44" i="5"/>
  <c r="E44" i="5"/>
  <c r="G43" i="5"/>
  <c r="E43" i="5"/>
  <c r="G42" i="5"/>
  <c r="E42" i="5"/>
  <c r="G41" i="5"/>
  <c r="E41" i="5"/>
  <c r="G40" i="5"/>
  <c r="E40" i="5"/>
  <c r="G39" i="5"/>
  <c r="E39" i="5"/>
  <c r="G38" i="5"/>
  <c r="E38" i="5"/>
  <c r="G37" i="5"/>
  <c r="E37" i="5"/>
  <c r="G36" i="5"/>
  <c r="E36" i="5"/>
  <c r="G35" i="5"/>
  <c r="E35" i="5"/>
  <c r="G34" i="5"/>
  <c r="E34" i="5"/>
  <c r="G33" i="5"/>
  <c r="E33" i="5"/>
  <c r="G32" i="5"/>
  <c r="E32" i="5"/>
  <c r="G31" i="5"/>
  <c r="E31" i="5"/>
  <c r="G30" i="5"/>
  <c r="E30" i="5"/>
  <c r="G29" i="5"/>
  <c r="E29" i="5"/>
  <c r="G28" i="5"/>
  <c r="E28" i="5"/>
  <c r="G27" i="5"/>
  <c r="E27" i="5"/>
  <c r="G26" i="5"/>
  <c r="E26" i="5"/>
  <c r="G25" i="5"/>
  <c r="E25" i="5"/>
  <c r="G24" i="5"/>
  <c r="E24" i="5"/>
  <c r="G23" i="5"/>
  <c r="E23" i="5"/>
  <c r="G22" i="5"/>
  <c r="E22" i="5"/>
  <c r="G21" i="5"/>
  <c r="E21" i="5"/>
  <c r="G20" i="5"/>
  <c r="E20" i="5"/>
  <c r="G19" i="5"/>
  <c r="E19" i="5"/>
  <c r="G18" i="5"/>
  <c r="E18" i="5"/>
  <c r="G17" i="5"/>
  <c r="E17" i="5"/>
  <c r="G16" i="5"/>
  <c r="E16" i="5"/>
  <c r="G15" i="5"/>
  <c r="E15" i="5"/>
  <c r="G14" i="5"/>
  <c r="E14" i="5"/>
  <c r="G13" i="5"/>
  <c r="E13" i="5"/>
  <c r="G12" i="5"/>
  <c r="E12" i="5"/>
  <c r="G11" i="5"/>
  <c r="E11" i="5"/>
  <c r="G10" i="5"/>
  <c r="E10" i="5"/>
  <c r="G9" i="5"/>
  <c r="E9" i="5"/>
  <c r="G8" i="5"/>
  <c r="E8" i="5"/>
  <c r="G7" i="5"/>
  <c r="E7" i="5"/>
  <c r="G6" i="5"/>
  <c r="E6" i="5"/>
  <c r="G5" i="5"/>
  <c r="E5" i="5"/>
  <c r="G4" i="5"/>
  <c r="E4" i="5"/>
  <c r="Q55" i="3"/>
  <c r="K55" i="3"/>
  <c r="J55" i="3"/>
  <c r="Q54" i="3"/>
  <c r="K54" i="3"/>
  <c r="J54" i="3"/>
  <c r="Q53" i="3"/>
  <c r="K53" i="3"/>
  <c r="J53" i="3"/>
  <c r="Q52" i="3"/>
  <c r="K52" i="3"/>
  <c r="J52" i="3"/>
  <c r="Q51" i="3"/>
  <c r="K51" i="3"/>
  <c r="J51" i="3"/>
  <c r="Q50" i="3"/>
  <c r="K50" i="3"/>
  <c r="J50" i="3"/>
  <c r="Q49" i="3"/>
  <c r="K49" i="3"/>
  <c r="J49" i="3"/>
  <c r="Q48" i="3"/>
  <c r="K48" i="3"/>
  <c r="N34" i="7" s="1"/>
  <c r="J48" i="3"/>
  <c r="M34" i="7" s="1"/>
  <c r="Q47" i="3"/>
  <c r="K47" i="3"/>
  <c r="J47" i="3"/>
  <c r="Q46" i="3"/>
  <c r="K46" i="3"/>
  <c r="J46" i="3"/>
  <c r="Q45" i="3"/>
  <c r="K45" i="3"/>
  <c r="N41" i="7" s="1"/>
  <c r="J45" i="3"/>
  <c r="M21" i="7" s="1"/>
  <c r="Q44" i="3"/>
  <c r="K44" i="3"/>
  <c r="J44" i="3"/>
  <c r="Q43" i="3"/>
  <c r="K43" i="3"/>
  <c r="N30" i="7" s="1"/>
  <c r="J43" i="3"/>
  <c r="Q42" i="3"/>
  <c r="K42" i="3"/>
  <c r="J42" i="3"/>
  <c r="M19" i="7" s="1"/>
  <c r="Q41" i="3"/>
  <c r="K41" i="3"/>
  <c r="J41" i="3"/>
  <c r="Q40" i="3"/>
  <c r="K40" i="3"/>
  <c r="J40" i="3"/>
  <c r="Q39" i="3"/>
  <c r="K39" i="3"/>
  <c r="J39" i="3"/>
  <c r="Q38" i="3"/>
  <c r="K38" i="3"/>
  <c r="J38" i="3"/>
  <c r="Q37" i="3"/>
  <c r="K37" i="3"/>
  <c r="J37" i="3"/>
  <c r="Q36" i="3"/>
  <c r="K36" i="3"/>
  <c r="N32" i="7" s="1"/>
  <c r="J36" i="3"/>
  <c r="Q35" i="3"/>
  <c r="K35" i="3"/>
  <c r="J35" i="3"/>
  <c r="Q34" i="3"/>
  <c r="K34" i="3"/>
  <c r="J34" i="3"/>
  <c r="Q33" i="3"/>
  <c r="K33" i="3"/>
  <c r="J33" i="3"/>
  <c r="Q32" i="3"/>
  <c r="K32" i="3"/>
  <c r="J32" i="3"/>
  <c r="Q31" i="3"/>
  <c r="K31" i="3"/>
  <c r="J31" i="3"/>
  <c r="Q30" i="3"/>
  <c r="K30" i="3"/>
  <c r="J30" i="3"/>
  <c r="Q29" i="3"/>
  <c r="K29" i="3"/>
  <c r="J29" i="3"/>
  <c r="Q28" i="3"/>
  <c r="K28" i="3"/>
  <c r="J28" i="3"/>
  <c r="Q27" i="3"/>
  <c r="K27" i="3"/>
  <c r="J27" i="3"/>
  <c r="Q26" i="3"/>
  <c r="K26" i="3"/>
  <c r="N37" i="7" s="1"/>
  <c r="J26" i="3"/>
  <c r="M27" i="7" s="1"/>
  <c r="Q25" i="3"/>
  <c r="K25" i="3"/>
  <c r="J25" i="3"/>
  <c r="Q24" i="3"/>
  <c r="K24" i="3"/>
  <c r="J24" i="3"/>
  <c r="Q23" i="3"/>
  <c r="K23" i="3"/>
  <c r="J23" i="3"/>
  <c r="Q22" i="3"/>
  <c r="K22" i="3"/>
  <c r="J22" i="3"/>
  <c r="Q21" i="3"/>
  <c r="K21" i="3"/>
  <c r="J21" i="3"/>
  <c r="Q20" i="3"/>
  <c r="K20" i="3"/>
  <c r="J20" i="3"/>
  <c r="Q19" i="3"/>
  <c r="K19" i="3"/>
  <c r="N7" i="7" s="1"/>
  <c r="J19" i="3"/>
  <c r="M7" i="7" s="1"/>
  <c r="Q18" i="3"/>
  <c r="K18" i="3"/>
  <c r="N16" i="7" s="1"/>
  <c r="J18" i="3"/>
  <c r="Q17" i="3"/>
  <c r="K17" i="3"/>
  <c r="J17" i="3"/>
  <c r="Q16" i="3"/>
  <c r="K16" i="3"/>
  <c r="J16" i="3"/>
  <c r="Q15" i="3"/>
  <c r="K15" i="3"/>
  <c r="J15" i="3"/>
  <c r="Q14" i="3"/>
  <c r="K14" i="3"/>
  <c r="J14" i="3"/>
  <c r="Q13" i="3"/>
  <c r="K13" i="3"/>
  <c r="J13" i="3"/>
  <c r="Q12" i="3"/>
  <c r="K12" i="3"/>
  <c r="J12" i="3"/>
  <c r="Q11" i="3"/>
  <c r="K11" i="3"/>
  <c r="J11" i="3"/>
  <c r="Q10" i="3"/>
  <c r="K10" i="3"/>
  <c r="J10" i="3"/>
  <c r="Q9" i="3"/>
  <c r="K9" i="3"/>
  <c r="J9" i="3"/>
  <c r="Q8" i="3"/>
  <c r="K8" i="3"/>
  <c r="J8" i="3"/>
  <c r="Q7" i="3"/>
  <c r="K7" i="3"/>
  <c r="J7" i="3"/>
  <c r="Q6" i="3"/>
  <c r="K6" i="3"/>
  <c r="J6" i="3"/>
  <c r="Q5" i="3"/>
  <c r="K5" i="3"/>
  <c r="N6" i="7" s="1"/>
  <c r="J5" i="3"/>
  <c r="Q4" i="3"/>
  <c r="K4" i="3"/>
  <c r="N28" i="7" s="1"/>
  <c r="J4" i="3"/>
  <c r="M28" i="7" s="1"/>
  <c r="U30" i="7" l="1"/>
  <c r="W30" i="7"/>
  <c r="M30" i="7"/>
  <c r="V107" i="7"/>
  <c r="V90" i="7"/>
  <c r="X187" i="7"/>
  <c r="V129" i="7"/>
  <c r="X102" i="7"/>
  <c r="V70" i="7"/>
  <c r="X134" i="7"/>
  <c r="X169" i="7"/>
  <c r="V50" i="7"/>
  <c r="X168" i="7"/>
  <c r="X190" i="7"/>
  <c r="X183" i="7"/>
  <c r="V81" i="7"/>
  <c r="W179" i="7"/>
  <c r="U179" i="7"/>
  <c r="S199" i="7"/>
  <c r="U8" i="7"/>
  <c r="W8" i="7"/>
  <c r="W72" i="7"/>
  <c r="U72" i="7"/>
  <c r="W165" i="7"/>
  <c r="U165" i="7"/>
  <c r="V197" i="7"/>
  <c r="X197" i="7"/>
  <c r="X34" i="7"/>
  <c r="L43" i="7"/>
  <c r="S43" i="7" s="1"/>
  <c r="T43" i="7" s="1"/>
  <c r="S165" i="7"/>
  <c r="T165" i="7" s="1"/>
  <c r="S21" i="7"/>
  <c r="T21" i="7" s="1"/>
  <c r="V9" i="7"/>
  <c r="T22" i="7"/>
  <c r="V6" i="7"/>
  <c r="S6" i="7"/>
  <c r="T6" i="7" s="1"/>
  <c r="AA45" i="7"/>
  <c r="X192" i="7"/>
  <c r="V192" i="7"/>
  <c r="X194" i="7"/>
  <c r="V194" i="7"/>
  <c r="W173" i="7"/>
  <c r="U173" i="7"/>
  <c r="U118" i="7"/>
  <c r="W118" i="7"/>
  <c r="T101" i="7"/>
  <c r="T143" i="7"/>
  <c r="S86" i="7"/>
  <c r="T186" i="7"/>
  <c r="S16" i="7"/>
  <c r="T16" i="7" s="1"/>
  <c r="L30" i="7"/>
  <c r="S30" i="7" s="1"/>
  <c r="N33" i="7"/>
  <c r="M33" i="7"/>
  <c r="L33" i="7"/>
  <c r="S33" i="7" s="1"/>
  <c r="J33" i="7"/>
  <c r="K36" i="7"/>
  <c r="K47" i="7"/>
  <c r="J49" i="7"/>
  <c r="T113" i="7"/>
  <c r="V123" i="7"/>
  <c r="U170" i="7"/>
  <c r="W170" i="7"/>
  <c r="T170" i="7"/>
  <c r="K33" i="7"/>
  <c r="L36" i="7"/>
  <c r="S36" i="7" s="1"/>
  <c r="T36" i="7" s="1"/>
  <c r="L47" i="7"/>
  <c r="J54" i="7"/>
  <c r="T62" i="7"/>
  <c r="N91" i="7"/>
  <c r="K91" i="7"/>
  <c r="S103" i="7"/>
  <c r="T103" i="7" s="1"/>
  <c r="L135" i="7"/>
  <c r="N135" i="7"/>
  <c r="M135" i="7"/>
  <c r="K135" i="7"/>
  <c r="S7" i="7"/>
  <c r="S20" i="7"/>
  <c r="T20" i="7" s="1"/>
  <c r="S23" i="7"/>
  <c r="T23" i="7" s="1"/>
  <c r="M36" i="7"/>
  <c r="M47" i="7"/>
  <c r="L54" i="7"/>
  <c r="S54" i="7" s="1"/>
  <c r="T54" i="7" s="1"/>
  <c r="J91" i="7"/>
  <c r="J101" i="7"/>
  <c r="J135" i="7"/>
  <c r="J145" i="7"/>
  <c r="L49" i="7"/>
  <c r="K49" i="7"/>
  <c r="M49" i="7"/>
  <c r="U125" i="7"/>
  <c r="W125" i="7"/>
  <c r="U133" i="7"/>
  <c r="W133" i="7"/>
  <c r="N143" i="7"/>
  <c r="J143" i="7"/>
  <c r="M143" i="7"/>
  <c r="K143" i="7"/>
  <c r="N172" i="7"/>
  <c r="L172" i="7"/>
  <c r="M172" i="7"/>
  <c r="K172" i="7"/>
  <c r="J172" i="7"/>
  <c r="S34" i="7"/>
  <c r="N36" i="7"/>
  <c r="M45" i="7"/>
  <c r="K45" i="7"/>
  <c r="L45" i="7" s="1"/>
  <c r="N47" i="7"/>
  <c r="S52" i="7"/>
  <c r="M54" i="7"/>
  <c r="T60" i="7"/>
  <c r="L91" i="7"/>
  <c r="K101" i="7"/>
  <c r="K145" i="7"/>
  <c r="S179" i="7"/>
  <c r="T179" i="7" s="1"/>
  <c r="K175" i="7"/>
  <c r="N175" i="7"/>
  <c r="J175" i="7"/>
  <c r="U67" i="7"/>
  <c r="K177" i="7"/>
  <c r="I43" i="9"/>
  <c r="F43" i="9" a="1"/>
  <c r="F43" i="9" s="1"/>
  <c r="J43" i="9" s="1" a="1"/>
  <c r="J43" i="9" s="1"/>
  <c r="L43" i="9"/>
  <c r="K43" i="9"/>
  <c r="N26" i="7"/>
  <c r="M88" i="7"/>
  <c r="L88" i="7"/>
  <c r="X111" i="7"/>
  <c r="M128" i="7"/>
  <c r="N128" i="7"/>
  <c r="J26" i="7"/>
  <c r="V155" i="7"/>
  <c r="J42" i="7"/>
  <c r="K77" i="7"/>
  <c r="L77" i="7"/>
  <c r="S77" i="7" s="1"/>
  <c r="M77" i="7"/>
  <c r="V97" i="7"/>
  <c r="M26" i="7"/>
  <c r="M173" i="7"/>
  <c r="L173" i="7"/>
  <c r="S173" i="7" s="1"/>
  <c r="T173" i="7" s="1"/>
  <c r="K173" i="7"/>
  <c r="N173" i="7"/>
  <c r="T140" i="7"/>
  <c r="U152" i="7"/>
  <c r="W152" i="7"/>
  <c r="W69" i="7"/>
  <c r="U69" i="7"/>
  <c r="S71" i="7"/>
  <c r="M103" i="7"/>
  <c r="N103" i="7"/>
  <c r="L103" i="7"/>
  <c r="J103" i="7"/>
  <c r="W113" i="7"/>
  <c r="U113" i="7"/>
  <c r="J77" i="7"/>
  <c r="U45" i="7"/>
  <c r="L15" i="7"/>
  <c r="S15" i="7" s="1"/>
  <c r="T15" i="7" s="1"/>
  <c r="M86" i="7"/>
  <c r="N31" i="7"/>
  <c r="K31" i="7"/>
  <c r="L31" i="7" s="1"/>
  <c r="S31" i="7" s="1"/>
  <c r="T31" i="7" s="1"/>
  <c r="J31" i="7"/>
  <c r="M31" i="7"/>
  <c r="K5" i="7"/>
  <c r="L5" i="7" s="1"/>
  <c r="S5" i="7" s="1"/>
  <c r="T5" i="7" s="1"/>
  <c r="J5" i="7"/>
  <c r="M5" i="7"/>
  <c r="N5" i="7"/>
  <c r="M32" i="7"/>
  <c r="M22" i="7"/>
  <c r="N40" i="7"/>
  <c r="K40" i="7"/>
  <c r="J40" i="7"/>
  <c r="W63" i="7"/>
  <c r="U63" i="7"/>
  <c r="T84" i="7"/>
  <c r="S150" i="7"/>
  <c r="T150" i="7" s="1"/>
  <c r="K154" i="7"/>
  <c r="V163" i="7"/>
  <c r="M29" i="7"/>
  <c r="L40" i="7"/>
  <c r="S40" i="7" s="1"/>
  <c r="T40" i="7" s="1"/>
  <c r="S50" i="7"/>
  <c r="T50" i="7" s="1"/>
  <c r="W163" i="7"/>
  <c r="M182" i="7"/>
  <c r="N182" i="7"/>
  <c r="J182" i="7"/>
  <c r="W192" i="7"/>
  <c r="N29" i="7"/>
  <c r="M40" i="7"/>
  <c r="U57" i="7"/>
  <c r="X75" i="7"/>
  <c r="M96" i="7"/>
  <c r="K96" i="7"/>
  <c r="N96" i="7"/>
  <c r="L96" i="7"/>
  <c r="S96" i="7" s="1"/>
  <c r="M98" i="7"/>
  <c r="N98" i="7"/>
  <c r="L98" i="7"/>
  <c r="S98" i="7" s="1"/>
  <c r="T98" i="7" s="1"/>
  <c r="K182" i="7"/>
  <c r="X36" i="7"/>
  <c r="Y36" i="7" s="1"/>
  <c r="V36" i="7"/>
  <c r="L175" i="7"/>
  <c r="S175" i="7" s="1"/>
  <c r="T175" i="7" s="1"/>
  <c r="K71" i="7"/>
  <c r="M71" i="7"/>
  <c r="N71" i="7"/>
  <c r="J71" i="7"/>
  <c r="M175" i="7"/>
  <c r="N86" i="7"/>
  <c r="N177" i="7"/>
  <c r="U140" i="7"/>
  <c r="K186" i="7"/>
  <c r="N186" i="7"/>
  <c r="M186" i="7"/>
  <c r="T192" i="7"/>
  <c r="W197" i="7"/>
  <c r="K11" i="7"/>
  <c r="L11" i="7" s="1"/>
  <c r="S11" i="7" s="1"/>
  <c r="T11" i="7" s="1"/>
  <c r="J11" i="7"/>
  <c r="W94" i="7"/>
  <c r="U94" i="7"/>
  <c r="V96" i="7"/>
  <c r="U106" i="7"/>
  <c r="W106" i="7"/>
  <c r="U150" i="7"/>
  <c r="W150" i="7"/>
  <c r="S178" i="7"/>
  <c r="T178" i="7" s="1"/>
  <c r="K184" i="7"/>
  <c r="N184" i="7"/>
  <c r="M184" i="7"/>
  <c r="L184" i="7"/>
  <c r="S184" i="7" s="1"/>
  <c r="T184" i="7" s="1"/>
  <c r="J184" i="7"/>
  <c r="N23" i="7"/>
  <c r="L23" i="7"/>
  <c r="M23" i="7"/>
  <c r="J23" i="7"/>
  <c r="V62" i="7"/>
  <c r="X157" i="7"/>
  <c r="V157" i="7"/>
  <c r="N179" i="7"/>
  <c r="K179" i="7"/>
  <c r="M179" i="7"/>
  <c r="L179" i="7"/>
  <c r="L26" i="7"/>
  <c r="S26" i="7" s="1"/>
  <c r="L71" i="7"/>
  <c r="X99" i="7"/>
  <c r="W111" i="7"/>
  <c r="K8" i="7"/>
  <c r="L8" i="7" s="1"/>
  <c r="S8" i="7" s="1"/>
  <c r="T8" i="7" s="1"/>
  <c r="M8" i="7"/>
  <c r="W32" i="7"/>
  <c r="U32" i="7"/>
  <c r="T68" i="7"/>
  <c r="M72" i="7"/>
  <c r="K72" i="7"/>
  <c r="U98" i="7"/>
  <c r="W98" i="7"/>
  <c r="L118" i="7"/>
  <c r="S118" i="7" s="1"/>
  <c r="T118" i="7" s="1"/>
  <c r="N118" i="7"/>
  <c r="N8" i="7"/>
  <c r="M11" i="7"/>
  <c r="N27" i="7"/>
  <c r="U29" i="7"/>
  <c r="L72" i="7"/>
  <c r="S72" i="7" s="1"/>
  <c r="T72" i="7" s="1"/>
  <c r="W96" i="7"/>
  <c r="S108" i="7"/>
  <c r="T108" i="7" s="1"/>
  <c r="K118" i="7"/>
  <c r="T134" i="7"/>
  <c r="W194" i="7"/>
  <c r="N13" i="7"/>
  <c r="M13" i="7"/>
  <c r="K13" i="7"/>
  <c r="L128" i="7"/>
  <c r="S128" i="7" s="1"/>
  <c r="T128" i="7" s="1"/>
  <c r="N154" i="7"/>
  <c r="L154" i="7"/>
  <c r="S154" i="7" s="1"/>
  <c r="T154" i="7" s="1"/>
  <c r="L13" i="7"/>
  <c r="S13" i="7" s="1"/>
  <c r="T13" i="7" s="1"/>
  <c r="N11" i="7"/>
  <c r="S38" i="7"/>
  <c r="T38" i="7" s="1"/>
  <c r="L41" i="7"/>
  <c r="N66" i="7"/>
  <c r="L66" i="7"/>
  <c r="S66" i="7" s="1"/>
  <c r="T66" i="7" s="1"/>
  <c r="N72" i="7"/>
  <c r="T104" i="7"/>
  <c r="M118" i="7"/>
  <c r="V7" i="7"/>
  <c r="J88" i="7"/>
  <c r="U167" i="7"/>
  <c r="W167" i="7"/>
  <c r="T57" i="7"/>
  <c r="U21" i="7"/>
  <c r="U59" i="7"/>
  <c r="W66" i="7"/>
  <c r="U66" i="7"/>
  <c r="U104" i="7"/>
  <c r="T160" i="7"/>
  <c r="N10" i="7"/>
  <c r="X109" i="7"/>
  <c r="J128" i="7"/>
  <c r="L35" i="7"/>
  <c r="S35" i="7" s="1"/>
  <c r="T35" i="7" s="1"/>
  <c r="K66" i="7"/>
  <c r="W74" i="7"/>
  <c r="U74" i="7"/>
  <c r="L108" i="7"/>
  <c r="N108" i="7"/>
  <c r="J108" i="7"/>
  <c r="M108" i="7"/>
  <c r="K108" i="7"/>
  <c r="U160" i="7"/>
  <c r="L34" i="7"/>
  <c r="V34" i="7" s="1"/>
  <c r="L177" i="7"/>
  <c r="S177" i="7" s="1"/>
  <c r="N199" i="7"/>
  <c r="L199" i="7"/>
  <c r="K199" i="7"/>
  <c r="N88" i="7"/>
  <c r="U16" i="7"/>
  <c r="N42" i="7"/>
  <c r="T181" i="7"/>
  <c r="K42" i="7"/>
  <c r="L42" i="7" s="1"/>
  <c r="S42" i="7" s="1"/>
  <c r="T42" i="7" s="1"/>
  <c r="J177" i="7"/>
  <c r="X195" i="7"/>
  <c r="V195" i="7"/>
  <c r="N77" i="7"/>
  <c r="K24" i="7"/>
  <c r="L24" i="7" s="1"/>
  <c r="S24" i="7" s="1"/>
  <c r="T24" i="7" s="1"/>
  <c r="J24" i="7"/>
  <c r="K88" i="7"/>
  <c r="K128" i="7"/>
  <c r="J199" i="7"/>
  <c r="N24" i="7"/>
  <c r="K29" i="7"/>
  <c r="L29" i="7" s="1"/>
  <c r="S29" i="7" s="1"/>
  <c r="T29" i="7" s="1"/>
  <c r="J154" i="7"/>
  <c r="L165" i="7"/>
  <c r="K165" i="7"/>
  <c r="N165" i="7"/>
  <c r="M165" i="7"/>
  <c r="J186" i="7"/>
  <c r="AA19" i="7"/>
  <c r="S81" i="7"/>
  <c r="T81" i="7" s="1"/>
  <c r="X92" i="7"/>
  <c r="S125" i="7"/>
  <c r="T125" i="7" s="1"/>
  <c r="T133" i="7"/>
  <c r="M9" i="7"/>
  <c r="K9" i="7"/>
  <c r="L9" i="7" s="1"/>
  <c r="S9" i="7" s="1"/>
  <c r="X9" i="7" s="1"/>
  <c r="J38" i="7"/>
  <c r="S49" i="7"/>
  <c r="T49" i="7" s="1"/>
  <c r="X64" i="7"/>
  <c r="V116" i="7"/>
  <c r="X127" i="7"/>
  <c r="V127" i="7"/>
  <c r="L191" i="7"/>
  <c r="S191" i="7" s="1"/>
  <c r="T191" i="7" s="1"/>
  <c r="N191" i="7"/>
  <c r="M191" i="7"/>
  <c r="K191" i="7"/>
  <c r="M136" i="7"/>
  <c r="L136" i="7"/>
  <c r="S136" i="7" s="1"/>
  <c r="T136" i="7" s="1"/>
  <c r="K136" i="7"/>
  <c r="J136" i="7"/>
  <c r="N43" i="7"/>
  <c r="K43" i="7"/>
  <c r="J43" i="7"/>
  <c r="M43" i="7"/>
  <c r="W120" i="7"/>
  <c r="U120" i="7"/>
  <c r="L27" i="7"/>
  <c r="U19" i="7"/>
  <c r="L44" i="7"/>
  <c r="S44" i="7" s="1"/>
  <c r="T44" i="7" s="1"/>
  <c r="N51" i="7"/>
  <c r="J51" i="7"/>
  <c r="K51" i="7"/>
  <c r="L51" i="7"/>
  <c r="S51" i="7" s="1"/>
  <c r="T51" i="7" s="1"/>
  <c r="M51" i="7"/>
  <c r="L76" i="7"/>
  <c r="S76" i="7" s="1"/>
  <c r="T76" i="7" s="1"/>
  <c r="K76" i="7"/>
  <c r="M76" i="7"/>
  <c r="J76" i="7"/>
  <c r="N76" i="7"/>
  <c r="T89" i="7"/>
  <c r="U191" i="7"/>
  <c r="W191" i="7"/>
  <c r="S88" i="7"/>
  <c r="T88" i="7" s="1"/>
  <c r="L86" i="7"/>
  <c r="J86" i="7"/>
  <c r="J13" i="7"/>
  <c r="U56" i="7"/>
  <c r="W56" i="7"/>
  <c r="W83" i="7"/>
  <c r="U83" i="7"/>
  <c r="S91" i="7"/>
  <c r="T91" i="7" s="1"/>
  <c r="K121" i="7"/>
  <c r="J121" i="7"/>
  <c r="N121" i="7"/>
  <c r="L121" i="7"/>
  <c r="S121" i="7" s="1"/>
  <c r="L125" i="7"/>
  <c r="N125" i="7"/>
  <c r="M125" i="7"/>
  <c r="M131" i="7"/>
  <c r="J131" i="7"/>
  <c r="L131" i="7"/>
  <c r="S131" i="7" s="1"/>
  <c r="X141" i="7"/>
  <c r="N52" i="7"/>
  <c r="K52" i="7"/>
  <c r="J52" i="7"/>
  <c r="S64" i="7"/>
  <c r="T64" i="7" s="1"/>
  <c r="N79" i="7"/>
  <c r="M79" i="7"/>
  <c r="J79" i="7"/>
  <c r="T79" i="7" s="1"/>
  <c r="L94" i="7"/>
  <c r="S94" i="7" s="1"/>
  <c r="T94" i="7" s="1"/>
  <c r="M94" i="7"/>
  <c r="M111" i="7"/>
  <c r="K111" i="7"/>
  <c r="N111" i="7"/>
  <c r="K123" i="7"/>
  <c r="S145" i="7"/>
  <c r="T145" i="7" s="1"/>
  <c r="L150" i="7"/>
  <c r="K150" i="7"/>
  <c r="M194" i="7"/>
  <c r="K194" i="7"/>
  <c r="J13" i="9" a="1"/>
  <c r="J13" i="9" s="1"/>
  <c r="I13" i="9"/>
  <c r="G13" i="9"/>
  <c r="H13" i="9" s="1"/>
  <c r="F13" i="9" a="1"/>
  <c r="F13" i="9" s="1"/>
  <c r="L13" i="9"/>
  <c r="K13" i="9"/>
  <c r="X44" i="7"/>
  <c r="S85" i="7"/>
  <c r="T85" i="7" s="1"/>
  <c r="J10" i="7"/>
  <c r="K63" i="7"/>
  <c r="K10" i="7"/>
  <c r="L10" i="7" s="1"/>
  <c r="S10" i="7" s="1"/>
  <c r="T10" i="7" s="1"/>
  <c r="J20" i="7"/>
  <c r="L46" i="7"/>
  <c r="S46" i="7" s="1"/>
  <c r="T46" i="7" s="1"/>
  <c r="M46" i="7"/>
  <c r="K46" i="7"/>
  <c r="J53" i="7"/>
  <c r="T53" i="7" s="1"/>
  <c r="L63" i="7"/>
  <c r="S63" i="7" s="1"/>
  <c r="T63" i="7" s="1"/>
  <c r="K80" i="7"/>
  <c r="K85" i="7"/>
  <c r="K122" i="7"/>
  <c r="K149" i="7"/>
  <c r="J151" i="7"/>
  <c r="S156" i="7"/>
  <c r="M188" i="7"/>
  <c r="N18" i="7"/>
  <c r="K18" i="7"/>
  <c r="L18" i="7" s="1"/>
  <c r="S18" i="7" s="1"/>
  <c r="T18" i="7" s="1"/>
  <c r="J18" i="7"/>
  <c r="K20" i="7"/>
  <c r="M35" i="7"/>
  <c r="N35" i="7"/>
  <c r="J46" i="7"/>
  <c r="K53" i="7"/>
  <c r="M63" i="7"/>
  <c r="S65" i="7"/>
  <c r="T65" i="7" s="1"/>
  <c r="J68" i="7"/>
  <c r="M85" i="7"/>
  <c r="J95" i="7"/>
  <c r="T97" i="7"/>
  <c r="J100" i="7"/>
  <c r="N100" i="7"/>
  <c r="W105" i="7"/>
  <c r="U105" i="7"/>
  <c r="M139" i="7"/>
  <c r="L139" i="7"/>
  <c r="J139" i="7"/>
  <c r="K151" i="7"/>
  <c r="V169" i="7"/>
  <c r="N188" i="7"/>
  <c r="W193" i="7"/>
  <c r="U193" i="7"/>
  <c r="N44" i="7"/>
  <c r="AA44" i="7" s="1"/>
  <c r="L80" i="7"/>
  <c r="S80" i="7" s="1"/>
  <c r="T80" i="7" s="1"/>
  <c r="J80" i="7"/>
  <c r="J85" i="7"/>
  <c r="N122" i="7"/>
  <c r="M122" i="7"/>
  <c r="J122" i="7"/>
  <c r="T122" i="7" s="1"/>
  <c r="V130" i="7"/>
  <c r="N137" i="7"/>
  <c r="V147" i="7"/>
  <c r="M149" i="7"/>
  <c r="J149" i="7"/>
  <c r="T149" i="7" s="1"/>
  <c r="L188" i="7"/>
  <c r="S188" i="7" s="1"/>
  <c r="T188" i="7" s="1"/>
  <c r="M10" i="7"/>
  <c r="N15" i="7"/>
  <c r="M15" i="7"/>
  <c r="J15" i="7"/>
  <c r="L20" i="7"/>
  <c r="J35" i="7"/>
  <c r="N46" i="7"/>
  <c r="M53" i="7"/>
  <c r="V58" i="7"/>
  <c r="S58" i="7"/>
  <c r="N63" i="7"/>
  <c r="K68" i="7"/>
  <c r="N80" i="7"/>
  <c r="N85" i="7"/>
  <c r="W142" i="7"/>
  <c r="N149" i="7"/>
  <c r="L151" i="7"/>
  <c r="S151" i="7" s="1"/>
  <c r="W176" i="7"/>
  <c r="U176" i="7"/>
  <c r="V142" i="7"/>
  <c r="X142" i="7"/>
  <c r="X162" i="7"/>
  <c r="N25" i="7"/>
  <c r="K25" i="7"/>
  <c r="L25" i="7" s="1"/>
  <c r="S25" i="7" s="1"/>
  <c r="T25" i="7" s="1"/>
  <c r="W28" i="7"/>
  <c r="M37" i="7"/>
  <c r="L39" i="7"/>
  <c r="S39" i="7" s="1"/>
  <c r="T39" i="7" s="1"/>
  <c r="W44" i="7"/>
  <c r="N53" i="7"/>
  <c r="S55" i="7"/>
  <c r="T55" i="7" s="1"/>
  <c r="W137" i="7"/>
  <c r="M151" i="7"/>
  <c r="L156" i="7"/>
  <c r="K156" i="7"/>
  <c r="J156" i="7"/>
  <c r="J39" i="7"/>
  <c r="J48" i="7"/>
  <c r="J60" i="7"/>
  <c r="U115" i="7"/>
  <c r="J117" i="7"/>
  <c r="W174" i="7"/>
  <c r="M41" i="7"/>
  <c r="T82" i="7"/>
  <c r="K117" i="7"/>
  <c r="S119" i="7"/>
  <c r="T119" i="7" s="1"/>
  <c r="U132" i="7"/>
  <c r="U146" i="7"/>
  <c r="W146" i="7"/>
  <c r="N156" i="7"/>
  <c r="U185" i="7"/>
  <c r="W185" i="7"/>
  <c r="X137" i="7"/>
  <c r="W159" i="7"/>
  <c r="U159" i="7"/>
  <c r="X174" i="7"/>
  <c r="J188" i="7"/>
  <c r="J4" i="7"/>
  <c r="J17" i="7"/>
  <c r="M25" i="7"/>
  <c r="L48" i="7"/>
  <c r="S48" i="7" s="1"/>
  <c r="T48" i="7" s="1"/>
  <c r="N55" i="7"/>
  <c r="K55" i="7"/>
  <c r="J55" i="7"/>
  <c r="M60" i="7"/>
  <c r="K65" i="7"/>
  <c r="J82" i="7"/>
  <c r="L117" i="7"/>
  <c r="S117" i="7" s="1"/>
  <c r="T117" i="7" s="1"/>
  <c r="W153" i="7"/>
  <c r="U153" i="7"/>
  <c r="L166" i="7"/>
  <c r="V166" i="7" s="1"/>
  <c r="T169" i="7"/>
  <c r="K185" i="7"/>
  <c r="J200" i="7"/>
  <c r="K4" i="7"/>
  <c r="L4" i="7" s="1"/>
  <c r="S4" i="7" s="1"/>
  <c r="L12" i="7"/>
  <c r="V12" i="7" s="1"/>
  <c r="K17" i="7"/>
  <c r="U37" i="7"/>
  <c r="N39" i="7"/>
  <c r="N48" i="7"/>
  <c r="L55" i="7"/>
  <c r="N60" i="7"/>
  <c r="L65" i="7"/>
  <c r="K82" i="7"/>
  <c r="U112" i="7"/>
  <c r="N117" i="7"/>
  <c r="J126" i="7"/>
  <c r="W127" i="7"/>
  <c r="V144" i="7"/>
  <c r="S148" i="7"/>
  <c r="V164" i="7"/>
  <c r="N166" i="7"/>
  <c r="W169" i="7"/>
  <c r="M180" i="7"/>
  <c r="L180" i="7"/>
  <c r="S180" i="7" s="1"/>
  <c r="T180" i="7" s="1"/>
  <c r="L185" i="7"/>
  <c r="S185" i="7" s="1"/>
  <c r="T185" i="7" s="1"/>
  <c r="K200" i="7"/>
  <c r="S139" i="7"/>
  <c r="T139" i="7" s="1"/>
  <c r="V162" i="7"/>
  <c r="L17" i="7"/>
  <c r="S17" i="7" s="1"/>
  <c r="L119" i="7"/>
  <c r="K119" i="7"/>
  <c r="K126" i="7"/>
  <c r="M185" i="7"/>
  <c r="L200" i="7"/>
  <c r="S200" i="7" s="1"/>
  <c r="I49" i="9"/>
  <c r="F49" i="9" a="1"/>
  <c r="F49" i="9" s="1"/>
  <c r="J49" i="9" s="1" a="1"/>
  <c r="J49" i="9" s="1"/>
  <c r="L49" i="9"/>
  <c r="K49" i="9"/>
  <c r="X78" i="7"/>
  <c r="E11" i="10"/>
  <c r="E20" i="10"/>
  <c r="D11" i="10"/>
  <c r="D20" i="10"/>
  <c r="E10" i="10"/>
  <c r="F10" i="10" s="1"/>
  <c r="E19" i="10"/>
  <c r="F19" i="10" s="1"/>
  <c r="D10" i="10"/>
  <c r="D19" i="10"/>
  <c r="E9" i="10"/>
  <c r="F9" i="10" s="1"/>
  <c r="E18" i="10"/>
  <c r="F18" i="10" s="1"/>
  <c r="D9" i="10"/>
  <c r="D18" i="10"/>
  <c r="E17" i="10"/>
  <c r="F17" i="10" s="1"/>
  <c r="D17" i="10"/>
  <c r="E16" i="10"/>
  <c r="F16" i="10" s="1"/>
  <c r="D16" i="10"/>
  <c r="E15" i="10"/>
  <c r="F15" i="10" s="1"/>
  <c r="D15" i="10"/>
  <c r="E14" i="10"/>
  <c r="F14" i="10" s="1"/>
  <c r="D14" i="10"/>
  <c r="E13" i="10"/>
  <c r="F13" i="10" s="1"/>
  <c r="D13" i="10"/>
  <c r="E12" i="10"/>
  <c r="F12" i="10" s="1"/>
  <c r="D12" i="10"/>
  <c r="M20" i="7"/>
  <c r="J25" i="7"/>
  <c r="S32" i="7"/>
  <c r="T32" i="7" s="1"/>
  <c r="L37" i="7"/>
  <c r="S37" i="7" s="1"/>
  <c r="T37" i="7" s="1"/>
  <c r="K39" i="7"/>
  <c r="K48" i="7"/>
  <c r="K60" i="7"/>
  <c r="J65" i="7"/>
  <c r="W78" i="7"/>
  <c r="M39" i="7"/>
  <c r="M4" i="7"/>
  <c r="N22" i="7"/>
  <c r="AA22" i="7" s="1"/>
  <c r="M55" i="7"/>
  <c r="M65" i="7"/>
  <c r="X73" i="7"/>
  <c r="M82" i="7"/>
  <c r="N4" i="7"/>
  <c r="K12" i="7"/>
  <c r="J22" i="7"/>
  <c r="T67" i="7"/>
  <c r="T70" i="7"/>
  <c r="N82" i="7"/>
  <c r="J89" i="7"/>
  <c r="K109" i="7"/>
  <c r="U114" i="7"/>
  <c r="W114" i="7"/>
  <c r="J119" i="7"/>
  <c r="M126" i="7"/>
  <c r="L171" i="7"/>
  <c r="K180" i="7"/>
  <c r="N185" i="7"/>
  <c r="I27" i="9"/>
  <c r="F27" i="9" a="1"/>
  <c r="F27" i="9" s="1"/>
  <c r="G27" i="9" s="1"/>
  <c r="H27" i="9" s="1"/>
  <c r="L27" i="9"/>
  <c r="K27" i="9"/>
  <c r="L28" i="7"/>
  <c r="V28" i="7" s="1"/>
  <c r="M159" i="7"/>
  <c r="K159" i="7"/>
  <c r="U196" i="7"/>
  <c r="W196" i="7"/>
  <c r="M187" i="7"/>
  <c r="K187" i="7"/>
  <c r="L21" i="7"/>
  <c r="N61" i="7"/>
  <c r="J61" i="7"/>
  <c r="M110" i="7"/>
  <c r="N110" i="7"/>
  <c r="J181" i="7"/>
  <c r="M181" i="7"/>
  <c r="L14" i="7"/>
  <c r="N21" i="7"/>
  <c r="S45" i="7"/>
  <c r="T45" i="7" s="1"/>
  <c r="N64" i="7"/>
  <c r="N67" i="7"/>
  <c r="N70" i="7"/>
  <c r="L87" i="7"/>
  <c r="V87" i="7" s="1"/>
  <c r="K87" i="7"/>
  <c r="M87" i="7"/>
  <c r="J93" i="7"/>
  <c r="J110" i="7"/>
  <c r="T110" i="7" s="1"/>
  <c r="M124" i="7"/>
  <c r="J124" i="7"/>
  <c r="T124" i="7" s="1"/>
  <c r="S135" i="7"/>
  <c r="T135" i="7" s="1"/>
  <c r="J161" i="7"/>
  <c r="T161" i="7" s="1"/>
  <c r="K181" i="7"/>
  <c r="S189" i="7"/>
  <c r="T189" i="7" s="1"/>
  <c r="X81" i="7"/>
  <c r="N84" i="7"/>
  <c r="M84" i="7"/>
  <c r="M138" i="7"/>
  <c r="L138" i="7"/>
  <c r="S138" i="7" s="1"/>
  <c r="L178" i="7"/>
  <c r="N178" i="7"/>
  <c r="V198" i="7"/>
  <c r="J84" i="7"/>
  <c r="J138" i="7"/>
  <c r="J158" i="7"/>
  <c r="L158" i="7"/>
  <c r="S158" i="7" s="1"/>
  <c r="T158" i="7" s="1"/>
  <c r="S172" i="7"/>
  <c r="T172" i="7" s="1"/>
  <c r="J178" i="7"/>
  <c r="I11" i="9"/>
  <c r="F11" i="9" a="1"/>
  <c r="F11" i="9" s="1"/>
  <c r="G11" i="9" s="1"/>
  <c r="H11" i="9" s="1"/>
  <c r="L11" i="9"/>
  <c r="K11" i="9"/>
  <c r="I17" i="9"/>
  <c r="F17" i="9" a="1"/>
  <c r="F17" i="9" s="1"/>
  <c r="G17" i="9" s="1"/>
  <c r="H17" i="9" s="1"/>
  <c r="L17" i="9"/>
  <c r="K17" i="9"/>
  <c r="I23" i="9"/>
  <c r="F23" i="9" a="1"/>
  <c r="F23" i="9" s="1"/>
  <c r="J23" i="9" s="1" a="1"/>
  <c r="J23" i="9" s="1"/>
  <c r="L23" i="9"/>
  <c r="K23" i="9"/>
  <c r="M152" i="7"/>
  <c r="K152" i="7"/>
  <c r="S120" i="7"/>
  <c r="T120" i="7" s="1"/>
  <c r="I29" i="9"/>
  <c r="F29" i="9" a="1"/>
  <c r="F29" i="9" s="1"/>
  <c r="J29" i="9" s="1" a="1"/>
  <c r="J29" i="9" s="1"/>
  <c r="L29" i="9"/>
  <c r="K29" i="9"/>
  <c r="I9" i="9"/>
  <c r="F9" i="9" a="1"/>
  <c r="F9" i="9" s="1"/>
  <c r="G9" i="9" s="1"/>
  <c r="H9" i="9" s="1"/>
  <c r="L9" i="9"/>
  <c r="K9" i="9"/>
  <c r="J21" i="9" a="1"/>
  <c r="J21" i="9" s="1"/>
  <c r="I21" i="9"/>
  <c r="F21" i="9" a="1"/>
  <c r="F21" i="9" s="1"/>
  <c r="G21" i="9" s="1"/>
  <c r="H21" i="9" s="1"/>
  <c r="L21" i="9"/>
  <c r="K21" i="9"/>
  <c r="I47" i="9"/>
  <c r="F47" i="9" a="1"/>
  <c r="F47" i="9" s="1"/>
  <c r="J47" i="9" s="1" a="1"/>
  <c r="J47" i="9" s="1"/>
  <c r="L47" i="9"/>
  <c r="K47" i="9"/>
  <c r="I37" i="9"/>
  <c r="F37" i="9" a="1"/>
  <c r="F37" i="9" s="1"/>
  <c r="G37" i="9" s="1"/>
  <c r="H37" i="9" s="1"/>
  <c r="L37" i="9"/>
  <c r="K37" i="9"/>
  <c r="I33" i="9"/>
  <c r="F33" i="9" a="1"/>
  <c r="F33" i="9" s="1"/>
  <c r="J33" i="9" s="1" a="1"/>
  <c r="J33" i="9" s="1"/>
  <c r="L33" i="9"/>
  <c r="K33" i="9"/>
  <c r="J39" i="9" a="1"/>
  <c r="J39" i="9" s="1"/>
  <c r="I39" i="9"/>
  <c r="F39" i="9" a="1"/>
  <c r="F39" i="9" s="1"/>
  <c r="G39" i="9" s="1"/>
  <c r="H39" i="9" s="1"/>
  <c r="L39" i="9"/>
  <c r="K39" i="9"/>
  <c r="I19" i="9"/>
  <c r="F19" i="9" a="1"/>
  <c r="F19" i="9" s="1"/>
  <c r="J19" i="9" s="1" a="1"/>
  <c r="J19" i="9" s="1"/>
  <c r="L19" i="9"/>
  <c r="K19" i="9"/>
  <c r="I45" i="9"/>
  <c r="F45" i="9" a="1"/>
  <c r="F45" i="9" s="1"/>
  <c r="G45" i="9" s="1"/>
  <c r="H45" i="9" s="1"/>
  <c r="L45" i="9"/>
  <c r="K45" i="9"/>
  <c r="I35" i="9"/>
  <c r="F35" i="9" a="1"/>
  <c r="F35" i="9" s="1"/>
  <c r="J35" i="9" s="1" a="1"/>
  <c r="J35" i="9" s="1"/>
  <c r="L35" i="9"/>
  <c r="K35" i="9"/>
  <c r="J25" i="9" a="1"/>
  <c r="J25" i="9" s="1"/>
  <c r="I25" i="9"/>
  <c r="F25" i="9" a="1"/>
  <c r="F25" i="9" s="1"/>
  <c r="G25" i="9" s="1"/>
  <c r="H25" i="9" s="1"/>
  <c r="L25" i="9"/>
  <c r="K25" i="9"/>
  <c r="I15" i="9"/>
  <c r="F15" i="9" a="1"/>
  <c r="F15" i="9" s="1"/>
  <c r="J15" i="9" s="1" a="1"/>
  <c r="J15" i="9" s="1"/>
  <c r="L15" i="9"/>
  <c r="K15" i="9"/>
  <c r="I41" i="9"/>
  <c r="F41" i="9" a="1"/>
  <c r="F41" i="9" s="1"/>
  <c r="J41" i="9" s="1" a="1"/>
  <c r="J41" i="9" s="1"/>
  <c r="L41" i="9"/>
  <c r="K41" i="9"/>
  <c r="J31" i="9" a="1"/>
  <c r="J31" i="9" s="1"/>
  <c r="I31" i="9"/>
  <c r="F31" i="9" a="1"/>
  <c r="F31" i="9" s="1"/>
  <c r="G31" i="9" s="1"/>
  <c r="H31" i="9" s="1"/>
  <c r="L31" i="9"/>
  <c r="K31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I8" i="9"/>
  <c r="I10" i="9"/>
  <c r="I12" i="9"/>
  <c r="I14" i="9"/>
  <c r="I16" i="9"/>
  <c r="I18" i="9"/>
  <c r="I20" i="9"/>
  <c r="I22" i="9"/>
  <c r="I24" i="9"/>
  <c r="I26" i="9"/>
  <c r="I28" i="9"/>
  <c r="I30" i="9"/>
  <c r="I32" i="9"/>
  <c r="I34" i="9"/>
  <c r="I36" i="9"/>
  <c r="I38" i="9"/>
  <c r="I40" i="9"/>
  <c r="I42" i="9"/>
  <c r="I44" i="9"/>
  <c r="I46" i="9"/>
  <c r="I48" i="9"/>
  <c r="I50" i="9"/>
  <c r="J8" i="9" a="1"/>
  <c r="J8" i="9" s="1"/>
  <c r="J10" i="9" a="1"/>
  <c r="J10" i="9" s="1"/>
  <c r="J12" i="9" a="1"/>
  <c r="J12" i="9" s="1"/>
  <c r="J14" i="9" a="1"/>
  <c r="J14" i="9" s="1"/>
  <c r="J16" i="9" a="1"/>
  <c r="J16" i="9" s="1"/>
  <c r="J18" i="9" a="1"/>
  <c r="J18" i="9" s="1"/>
  <c r="J20" i="9" a="1"/>
  <c r="J20" i="9" s="1"/>
  <c r="J22" i="9" a="1"/>
  <c r="J22" i="9" s="1"/>
  <c r="J24" i="9" a="1"/>
  <c r="J24" i="9" s="1"/>
  <c r="J26" i="9" a="1"/>
  <c r="J26" i="9" s="1"/>
  <c r="J28" i="9" a="1"/>
  <c r="J28" i="9" s="1"/>
  <c r="J30" i="9" a="1"/>
  <c r="J30" i="9" s="1"/>
  <c r="J32" i="9" a="1"/>
  <c r="J32" i="9" s="1"/>
  <c r="J34" i="9" a="1"/>
  <c r="J34" i="9" s="1"/>
  <c r="J36" i="9" a="1"/>
  <c r="J36" i="9" s="1"/>
  <c r="J38" i="9" a="1"/>
  <c r="J38" i="9" s="1"/>
  <c r="J40" i="9" a="1"/>
  <c r="J40" i="9" s="1"/>
  <c r="J42" i="9" a="1"/>
  <c r="J42" i="9" s="1"/>
  <c r="J44" i="9" a="1"/>
  <c r="J44" i="9" s="1"/>
  <c r="J46" i="9" a="1"/>
  <c r="J46" i="9" s="1"/>
  <c r="J48" i="9" a="1"/>
  <c r="J48" i="9" s="1"/>
  <c r="J50" i="9" a="1"/>
  <c r="J50" i="9" s="1"/>
  <c r="K8" i="9"/>
  <c r="K10" i="9"/>
  <c r="K12" i="9"/>
  <c r="K14" i="9"/>
  <c r="K16" i="9"/>
  <c r="K18" i="9"/>
  <c r="K20" i="9"/>
  <c r="K22" i="9"/>
  <c r="K24" i="9"/>
  <c r="K26" i="9"/>
  <c r="K28" i="9"/>
  <c r="K30" i="9"/>
  <c r="K32" i="9"/>
  <c r="K34" i="9"/>
  <c r="K36" i="9"/>
  <c r="K38" i="9"/>
  <c r="K40" i="9"/>
  <c r="K42" i="9"/>
  <c r="K44" i="9"/>
  <c r="K46" i="9"/>
  <c r="K48" i="9"/>
  <c r="K50" i="9"/>
  <c r="F20" i="10"/>
  <c r="F11" i="10"/>
  <c r="Z44" i="7" l="1"/>
  <c r="Y9" i="7"/>
  <c r="X4" i="7"/>
  <c r="Y4" i="7" s="1"/>
  <c r="T4" i="7"/>
  <c r="T96" i="7"/>
  <c r="X96" i="7"/>
  <c r="X83" i="7"/>
  <c r="V83" i="7"/>
  <c r="AA39" i="7"/>
  <c r="V159" i="7"/>
  <c r="X159" i="7"/>
  <c r="U35" i="7"/>
  <c r="W35" i="7"/>
  <c r="X105" i="7"/>
  <c r="V105" i="7"/>
  <c r="X74" i="7"/>
  <c r="V74" i="7"/>
  <c r="W182" i="7"/>
  <c r="U182" i="7"/>
  <c r="Z36" i="7"/>
  <c r="AA4" i="7"/>
  <c r="V37" i="7"/>
  <c r="X37" i="7"/>
  <c r="Y37" i="7" s="1"/>
  <c r="U121" i="7"/>
  <c r="W121" i="7"/>
  <c r="X189" i="7"/>
  <c r="W24" i="7"/>
  <c r="U24" i="7"/>
  <c r="AA23" i="7"/>
  <c r="W5" i="7"/>
  <c r="U5" i="7"/>
  <c r="S28" i="7"/>
  <c r="AA33" i="7"/>
  <c r="AA38" i="7"/>
  <c r="X153" i="7"/>
  <c r="V153" i="7"/>
  <c r="W46" i="7"/>
  <c r="U46" i="7"/>
  <c r="AA35" i="7"/>
  <c r="X6" i="7"/>
  <c r="J27" i="9" a="1"/>
  <c r="J27" i="9" s="1"/>
  <c r="Y44" i="7"/>
  <c r="S27" i="7"/>
  <c r="AA27" i="7" s="1"/>
  <c r="V27" i="7"/>
  <c r="V104" i="7"/>
  <c r="X104" i="7"/>
  <c r="V94" i="7"/>
  <c r="X94" i="7"/>
  <c r="V113" i="7"/>
  <c r="X113" i="7"/>
  <c r="T77" i="7"/>
  <c r="U100" i="7"/>
  <c r="W100" i="7"/>
  <c r="U68" i="7"/>
  <c r="W68" i="7"/>
  <c r="AA31" i="7"/>
  <c r="AA6" i="7"/>
  <c r="V146" i="7"/>
  <c r="X146" i="7"/>
  <c r="T100" i="7"/>
  <c r="G29" i="9"/>
  <c r="H29" i="9" s="1"/>
  <c r="V120" i="7"/>
  <c r="X120" i="7"/>
  <c r="S87" i="7"/>
  <c r="W178" i="7"/>
  <c r="U178" i="7"/>
  <c r="T148" i="7"/>
  <c r="X148" i="7"/>
  <c r="S12" i="7"/>
  <c r="W85" i="7"/>
  <c r="U85" i="7"/>
  <c r="X66" i="7"/>
  <c r="V66" i="7"/>
  <c r="AA13" i="7"/>
  <c r="W103" i="7"/>
  <c r="U103" i="7"/>
  <c r="U42" i="7"/>
  <c r="W42" i="7"/>
  <c r="Z45" i="7"/>
  <c r="AB45" i="7" s="1"/>
  <c r="T182" i="7"/>
  <c r="T17" i="7"/>
  <c r="AA17" i="7"/>
  <c r="X19" i="7"/>
  <c r="V19" i="7"/>
  <c r="X196" i="7"/>
  <c r="V196" i="7"/>
  <c r="V41" i="7"/>
  <c r="S41" i="7"/>
  <c r="U71" i="7"/>
  <c r="W71" i="7"/>
  <c r="W79" i="7"/>
  <c r="U79" i="7"/>
  <c r="T7" i="7"/>
  <c r="AA7" i="7"/>
  <c r="U31" i="7"/>
  <c r="W31" i="7"/>
  <c r="G35" i="9"/>
  <c r="H35" i="9" s="1"/>
  <c r="W20" i="7"/>
  <c r="U20" i="7"/>
  <c r="J11" i="9" a="1"/>
  <c r="J11" i="9" s="1"/>
  <c r="W82" i="7"/>
  <c r="U82" i="7"/>
  <c r="X176" i="7"/>
  <c r="V176" i="7"/>
  <c r="X63" i="7"/>
  <c r="V63" i="7"/>
  <c r="J45" i="9" a="1"/>
  <c r="J45" i="9" s="1"/>
  <c r="J37" i="9" a="1"/>
  <c r="J37" i="9" s="1"/>
  <c r="T151" i="7"/>
  <c r="W80" i="7"/>
  <c r="U80" i="7"/>
  <c r="U186" i="7"/>
  <c r="W186" i="7"/>
  <c r="T26" i="7"/>
  <c r="W11" i="7"/>
  <c r="U11" i="7"/>
  <c r="U40" i="7"/>
  <c r="W40" i="7"/>
  <c r="AA36" i="7"/>
  <c r="W54" i="7"/>
  <c r="U54" i="7"/>
  <c r="T30" i="7"/>
  <c r="AA30" i="7"/>
  <c r="W13" i="7"/>
  <c r="U13" i="7"/>
  <c r="S166" i="7"/>
  <c r="Z9" i="7"/>
  <c r="AA42" i="7"/>
  <c r="W25" i="7"/>
  <c r="U25" i="7"/>
  <c r="W126" i="7"/>
  <c r="U126" i="7"/>
  <c r="U117" i="7"/>
  <c r="W117" i="7"/>
  <c r="V115" i="7"/>
  <c r="X115" i="7"/>
  <c r="AA43" i="7"/>
  <c r="X180" i="7"/>
  <c r="T71" i="7"/>
  <c r="V173" i="7"/>
  <c r="X173" i="7"/>
  <c r="W161" i="7"/>
  <c r="U161" i="7"/>
  <c r="U200" i="7"/>
  <c r="W200" i="7"/>
  <c r="U95" i="7"/>
  <c r="W95" i="7"/>
  <c r="AA25" i="7"/>
  <c r="U119" i="7"/>
  <c r="W119" i="7"/>
  <c r="V30" i="7"/>
  <c r="X72" i="7"/>
  <c r="V72" i="7"/>
  <c r="V133" i="7"/>
  <c r="X133" i="7"/>
  <c r="W175" i="7"/>
  <c r="U175" i="7"/>
  <c r="AA15" i="7"/>
  <c r="X185" i="7"/>
  <c r="V185" i="7"/>
  <c r="G41" i="9"/>
  <c r="H41" i="9" s="1"/>
  <c r="G33" i="9"/>
  <c r="H33" i="9" s="1"/>
  <c r="J17" i="9" a="1"/>
  <c r="J17" i="9" s="1"/>
  <c r="X32" i="7"/>
  <c r="Y32" i="7" s="1"/>
  <c r="V32" i="7"/>
  <c r="X106" i="7"/>
  <c r="V106" i="7"/>
  <c r="T86" i="7"/>
  <c r="U43" i="7"/>
  <c r="W43" i="7"/>
  <c r="W26" i="7"/>
  <c r="U26" i="7"/>
  <c r="V47" i="7"/>
  <c r="S47" i="7"/>
  <c r="W18" i="7"/>
  <c r="U18" i="7"/>
  <c r="X21" i="7"/>
  <c r="V21" i="7"/>
  <c r="G43" i="9"/>
  <c r="H43" i="9" s="1"/>
  <c r="G15" i="9"/>
  <c r="H15" i="9" s="1"/>
  <c r="G19" i="9"/>
  <c r="H19" i="9" s="1"/>
  <c r="G47" i="9"/>
  <c r="H47" i="9" s="1"/>
  <c r="W84" i="7"/>
  <c r="U84" i="7"/>
  <c r="G49" i="9"/>
  <c r="H49" i="9" s="1"/>
  <c r="W60" i="7"/>
  <c r="U60" i="7"/>
  <c r="X193" i="7"/>
  <c r="V193" i="7"/>
  <c r="AA18" i="7"/>
  <c r="U76" i="7"/>
  <c r="W76" i="7"/>
  <c r="W136" i="7"/>
  <c r="U136" i="7"/>
  <c r="X160" i="7"/>
  <c r="V160" i="7"/>
  <c r="X69" i="7"/>
  <c r="V69" i="7"/>
  <c r="U172" i="7"/>
  <c r="W172" i="7"/>
  <c r="U181" i="7"/>
  <c r="W181" i="7"/>
  <c r="X114" i="7"/>
  <c r="V114" i="7"/>
  <c r="X112" i="7"/>
  <c r="V112" i="7"/>
  <c r="U48" i="7"/>
  <c r="W48" i="7"/>
  <c r="T131" i="7"/>
  <c r="W154" i="7"/>
  <c r="U154" i="7"/>
  <c r="AA16" i="7"/>
  <c r="W65" i="7"/>
  <c r="U65" i="7"/>
  <c r="T52" i="7"/>
  <c r="W17" i="7"/>
  <c r="U17" i="7"/>
  <c r="W39" i="7"/>
  <c r="U39" i="7"/>
  <c r="W131" i="7"/>
  <c r="U131" i="7"/>
  <c r="X167" i="7"/>
  <c r="V167" i="7"/>
  <c r="X29" i="7"/>
  <c r="Y29" i="7" s="1"/>
  <c r="V29" i="7"/>
  <c r="X57" i="7"/>
  <c r="V57" i="7"/>
  <c r="W145" i="7"/>
  <c r="U145" i="7"/>
  <c r="U177" i="7"/>
  <c r="W177" i="7"/>
  <c r="U52" i="7"/>
  <c r="W52" i="7"/>
  <c r="T58" i="7"/>
  <c r="X58" i="7"/>
  <c r="T156" i="7"/>
  <c r="AA24" i="7"/>
  <c r="U88" i="7"/>
  <c r="W88" i="7"/>
  <c r="X67" i="7"/>
  <c r="V67" i="7"/>
  <c r="U135" i="7"/>
  <c r="W135" i="7"/>
  <c r="V170" i="7"/>
  <c r="X170" i="7"/>
  <c r="V8" i="7"/>
  <c r="X8" i="7"/>
  <c r="Y8" i="7" s="1"/>
  <c r="X98" i="7"/>
  <c r="V98" i="7"/>
  <c r="U124" i="7"/>
  <c r="W124" i="7"/>
  <c r="X50" i="7"/>
  <c r="W38" i="7"/>
  <c r="U38" i="7"/>
  <c r="T9" i="7"/>
  <c r="AA9" i="7"/>
  <c r="X132" i="7"/>
  <c r="V132" i="7"/>
  <c r="V150" i="7"/>
  <c r="X150" i="7"/>
  <c r="J9" i="9" a="1"/>
  <c r="J9" i="9" s="1"/>
  <c r="W10" i="7"/>
  <c r="U10" i="7"/>
  <c r="X45" i="7"/>
  <c r="Y45" i="7" s="1"/>
  <c r="V45" i="7"/>
  <c r="W122" i="7"/>
  <c r="U122" i="7"/>
  <c r="U86" i="7"/>
  <c r="W86" i="7"/>
  <c r="AA21" i="7"/>
  <c r="AA40" i="7"/>
  <c r="V165" i="7"/>
  <c r="X165" i="7"/>
  <c r="U138" i="7"/>
  <c r="W138" i="7"/>
  <c r="G23" i="9"/>
  <c r="H23" i="9" s="1"/>
  <c r="U61" i="7"/>
  <c r="W61" i="7"/>
  <c r="U151" i="7"/>
  <c r="W151" i="7"/>
  <c r="X7" i="7"/>
  <c r="W139" i="7"/>
  <c r="U139" i="7"/>
  <c r="V180" i="7"/>
  <c r="AA8" i="7"/>
  <c r="AA29" i="7"/>
  <c r="X152" i="7"/>
  <c r="V152" i="7"/>
  <c r="U91" i="7"/>
  <c r="W91" i="7"/>
  <c r="X179" i="7"/>
  <c r="V179" i="7"/>
  <c r="W33" i="7"/>
  <c r="U33" i="7"/>
  <c r="T33" i="7"/>
  <c r="U149" i="7"/>
  <c r="W149" i="7"/>
  <c r="X30" i="7"/>
  <c r="AA11" i="7"/>
  <c r="AA20" i="7"/>
  <c r="W110" i="7"/>
  <c r="U110" i="7"/>
  <c r="U93" i="7"/>
  <c r="W93" i="7"/>
  <c r="T93" i="7"/>
  <c r="AA10" i="7"/>
  <c r="Z34" i="7"/>
  <c r="X16" i="7"/>
  <c r="V16" i="7"/>
  <c r="T177" i="7"/>
  <c r="W158" i="7"/>
  <c r="U158" i="7"/>
  <c r="S14" i="7"/>
  <c r="V14" i="7"/>
  <c r="T126" i="7"/>
  <c r="W23" i="7"/>
  <c r="U23" i="7"/>
  <c r="X140" i="7"/>
  <c r="V140" i="7"/>
  <c r="T61" i="7"/>
  <c r="AA26" i="7"/>
  <c r="T95" i="7"/>
  <c r="AA32" i="7"/>
  <c r="U15" i="7"/>
  <c r="W15" i="7"/>
  <c r="U53" i="7"/>
  <c r="W53" i="7"/>
  <c r="U184" i="7"/>
  <c r="W184" i="7"/>
  <c r="X125" i="7"/>
  <c r="V125" i="7"/>
  <c r="X56" i="7"/>
  <c r="V56" i="7"/>
  <c r="U128" i="7"/>
  <c r="W128" i="7"/>
  <c r="W77" i="7"/>
  <c r="U77" i="7"/>
  <c r="S171" i="7"/>
  <c r="V171" i="7"/>
  <c r="U55" i="7"/>
  <c r="W55" i="7"/>
  <c r="X191" i="7"/>
  <c r="V191" i="7"/>
  <c r="X59" i="7"/>
  <c r="V59" i="7"/>
  <c r="AA34" i="7"/>
  <c r="T34" i="7"/>
  <c r="Y34" i="7" s="1"/>
  <c r="V118" i="7"/>
  <c r="X118" i="7"/>
  <c r="U89" i="7"/>
  <c r="W89" i="7"/>
  <c r="T200" i="7"/>
  <c r="U156" i="7"/>
  <c r="W156" i="7"/>
  <c r="U199" i="7"/>
  <c r="W199" i="7"/>
  <c r="W108" i="7"/>
  <c r="U108" i="7"/>
  <c r="W101" i="7"/>
  <c r="U101" i="7"/>
  <c r="T199" i="7"/>
  <c r="T138" i="7"/>
  <c r="W188" i="7"/>
  <c r="U188" i="7"/>
  <c r="U22" i="7"/>
  <c r="W22" i="7"/>
  <c r="V44" i="7"/>
  <c r="T121" i="7"/>
  <c r="W51" i="7"/>
  <c r="U51" i="7"/>
  <c r="AA5" i="7"/>
  <c r="W143" i="7"/>
  <c r="U143" i="7"/>
  <c r="U49" i="7"/>
  <c r="W49" i="7"/>
  <c r="AA37" i="7"/>
  <c r="AB44" i="7" l="1"/>
  <c r="AB36" i="7"/>
  <c r="AB9" i="7"/>
  <c r="Z32" i="7"/>
  <c r="AB32" i="7" s="1"/>
  <c r="Z29" i="7"/>
  <c r="AB29" i="7" s="1"/>
  <c r="X82" i="7"/>
  <c r="V82" i="7"/>
  <c r="Y30" i="7"/>
  <c r="Z30" i="7"/>
  <c r="X15" i="7"/>
  <c r="V15" i="7"/>
  <c r="V119" i="7"/>
  <c r="X119" i="7"/>
  <c r="V124" i="7"/>
  <c r="X124" i="7"/>
  <c r="X48" i="7"/>
  <c r="V48" i="7"/>
  <c r="V103" i="7"/>
  <c r="X103" i="7"/>
  <c r="X145" i="7"/>
  <c r="V145" i="7"/>
  <c r="X200" i="7"/>
  <c r="V200" i="7"/>
  <c r="X22" i="7"/>
  <c r="V22" i="7"/>
  <c r="X39" i="7"/>
  <c r="V39" i="7"/>
  <c r="V71" i="7"/>
  <c r="X71" i="7"/>
  <c r="V188" i="7"/>
  <c r="X188" i="7"/>
  <c r="V77" i="7"/>
  <c r="X77" i="7"/>
  <c r="Z4" i="7"/>
  <c r="V186" i="7"/>
  <c r="X186" i="7"/>
  <c r="T41" i="7"/>
  <c r="AA41" i="7"/>
  <c r="X41" i="7"/>
  <c r="X110" i="7"/>
  <c r="V110" i="7"/>
  <c r="Y21" i="7"/>
  <c r="Z21" i="7"/>
  <c r="X33" i="7"/>
  <c r="V33" i="7"/>
  <c r="T47" i="7"/>
  <c r="X47" i="7"/>
  <c r="V182" i="7"/>
  <c r="X182" i="7"/>
  <c r="T12" i="7"/>
  <c r="AA12" i="7"/>
  <c r="X12" i="7"/>
  <c r="V35" i="7"/>
  <c r="X35" i="7"/>
  <c r="X136" i="7"/>
  <c r="V136" i="7"/>
  <c r="T171" i="7"/>
  <c r="X171" i="7"/>
  <c r="Z8" i="7"/>
  <c r="AB8" i="7" s="1"/>
  <c r="V17" i="7"/>
  <c r="X17" i="7"/>
  <c r="V76" i="7"/>
  <c r="X76" i="7"/>
  <c r="V156" i="7"/>
  <c r="X156" i="7"/>
  <c r="X138" i="7"/>
  <c r="V138" i="7"/>
  <c r="V23" i="7"/>
  <c r="X23" i="7"/>
  <c r="X172" i="7"/>
  <c r="V172" i="7"/>
  <c r="Y6" i="7"/>
  <c r="Z6" i="7"/>
  <c r="X11" i="7"/>
  <c r="V11" i="7"/>
  <c r="T14" i="7"/>
  <c r="AA14" i="7"/>
  <c r="X14" i="7"/>
  <c r="X158" i="7"/>
  <c r="V158" i="7"/>
  <c r="Y16" i="7"/>
  <c r="Z16" i="7"/>
  <c r="X139" i="7"/>
  <c r="V139" i="7"/>
  <c r="V52" i="7"/>
  <c r="X52" i="7"/>
  <c r="V80" i="7"/>
  <c r="X80" i="7"/>
  <c r="X135" i="7"/>
  <c r="V135" i="7"/>
  <c r="X86" i="7"/>
  <c r="V86" i="7"/>
  <c r="X26" i="7"/>
  <c r="V26" i="7"/>
  <c r="X51" i="7"/>
  <c r="V51" i="7"/>
  <c r="X40" i="7"/>
  <c r="V40" i="7"/>
  <c r="X13" i="7"/>
  <c r="V13" i="7"/>
  <c r="V20" i="7"/>
  <c r="X20" i="7"/>
  <c r="V49" i="7"/>
  <c r="X49" i="7"/>
  <c r="X181" i="7"/>
  <c r="V181" i="7"/>
  <c r="X54" i="7"/>
  <c r="V54" i="7"/>
  <c r="Z37" i="7"/>
  <c r="AB37" i="7" s="1"/>
  <c r="V178" i="7"/>
  <c r="X178" i="7"/>
  <c r="X10" i="7"/>
  <c r="V10" i="7"/>
  <c r="X79" i="7"/>
  <c r="V79" i="7"/>
  <c r="X128" i="7"/>
  <c r="V128" i="7"/>
  <c r="X101" i="7"/>
  <c r="V101" i="7"/>
  <c r="AB34" i="7"/>
  <c r="X177" i="7"/>
  <c r="V177" i="7"/>
  <c r="X65" i="7"/>
  <c r="V65" i="7"/>
  <c r="T28" i="7"/>
  <c r="X28" i="7"/>
  <c r="AA28" i="7"/>
  <c r="T166" i="7"/>
  <c r="X166" i="7"/>
  <c r="V89" i="7"/>
  <c r="X89" i="7"/>
  <c r="X149" i="7"/>
  <c r="V149" i="7"/>
  <c r="X18" i="7"/>
  <c r="V18" i="7"/>
  <c r="X85" i="7"/>
  <c r="V85" i="7"/>
  <c r="X143" i="7"/>
  <c r="V143" i="7"/>
  <c r="X27" i="7"/>
  <c r="T27" i="7"/>
  <c r="X122" i="7"/>
  <c r="V122" i="7"/>
  <c r="X95" i="7"/>
  <c r="V95" i="7"/>
  <c r="X31" i="7"/>
  <c r="V31" i="7"/>
  <c r="V91" i="7"/>
  <c r="X91" i="7"/>
  <c r="X88" i="7"/>
  <c r="V88" i="7"/>
  <c r="V43" i="7"/>
  <c r="X43" i="7"/>
  <c r="V161" i="7"/>
  <c r="X161" i="7"/>
  <c r="T87" i="7"/>
  <c r="X87" i="7"/>
  <c r="X55" i="7"/>
  <c r="V55" i="7"/>
  <c r="X131" i="7"/>
  <c r="V131" i="7"/>
  <c r="V46" i="7"/>
  <c r="X46" i="7"/>
  <c r="Y7" i="7"/>
  <c r="Z7" i="7"/>
  <c r="V60" i="7"/>
  <c r="X60" i="7"/>
  <c r="Y19" i="7"/>
  <c r="Z19" i="7"/>
  <c r="AB19" i="7" s="1"/>
  <c r="X5" i="7"/>
  <c r="V5" i="7"/>
  <c r="X53" i="7"/>
  <c r="V53" i="7"/>
  <c r="X121" i="7"/>
  <c r="V121" i="7"/>
  <c r="X184" i="7"/>
  <c r="V184" i="7"/>
  <c r="X25" i="7"/>
  <c r="V25" i="7"/>
  <c r="X42" i="7"/>
  <c r="V42" i="7"/>
  <c r="V117" i="7"/>
  <c r="X117" i="7"/>
  <c r="X68" i="7"/>
  <c r="V68" i="7"/>
  <c r="X100" i="7"/>
  <c r="V100" i="7"/>
  <c r="V199" i="7"/>
  <c r="X199" i="7"/>
  <c r="X61" i="7"/>
  <c r="V61" i="7"/>
  <c r="X38" i="7"/>
  <c r="V38" i="7"/>
  <c r="X108" i="7"/>
  <c r="V108" i="7"/>
  <c r="X93" i="7"/>
  <c r="V93" i="7"/>
  <c r="X151" i="7"/>
  <c r="V151" i="7"/>
  <c r="X154" i="7"/>
  <c r="V154" i="7"/>
  <c r="X84" i="7"/>
  <c r="V84" i="7"/>
  <c r="X175" i="7"/>
  <c r="V175" i="7"/>
  <c r="V126" i="7"/>
  <c r="X126" i="7"/>
  <c r="V24" i="7"/>
  <c r="X24" i="7"/>
  <c r="AB21" i="7" l="1"/>
  <c r="AB30" i="7"/>
  <c r="AB16" i="7"/>
  <c r="Y28" i="7"/>
  <c r="Z28" i="7"/>
  <c r="Y24" i="7"/>
  <c r="Z24" i="7"/>
  <c r="F7" i="9" a="1"/>
  <c r="F7" i="9" s="1"/>
  <c r="F5" i="9" a="1"/>
  <c r="F5" i="9" s="1"/>
  <c r="F6" i="9" a="1"/>
  <c r="F6" i="9" s="1"/>
  <c r="F4" i="9" a="1"/>
  <c r="F4" i="9" s="1"/>
  <c r="Z17" i="7"/>
  <c r="Y17" i="7"/>
  <c r="Y31" i="7"/>
  <c r="Z31" i="7"/>
  <c r="Y41" i="7"/>
  <c r="Z41" i="7"/>
  <c r="AB41" i="7" s="1"/>
  <c r="Y42" i="7"/>
  <c r="Z42" i="7"/>
  <c r="Y5" i="7"/>
  <c r="Z5" i="7"/>
  <c r="Y20" i="7"/>
  <c r="Z20" i="7"/>
  <c r="Y13" i="7"/>
  <c r="Z13" i="7"/>
  <c r="AB7" i="7"/>
  <c r="Y35" i="7"/>
  <c r="Z35" i="7"/>
  <c r="Y27" i="7"/>
  <c r="Z27" i="7"/>
  <c r="Y40" i="7"/>
  <c r="Z40" i="7"/>
  <c r="AB40" i="7" s="1"/>
  <c r="Y26" i="7"/>
  <c r="Z26" i="7"/>
  <c r="Y11" i="7"/>
  <c r="Z11" i="7"/>
  <c r="Y12" i="7"/>
  <c r="Z12" i="7"/>
  <c r="Y39" i="7"/>
  <c r="Z39" i="7"/>
  <c r="AB39" i="7" s="1"/>
  <c r="AB6" i="7"/>
  <c r="Y18" i="7"/>
  <c r="Z18" i="7"/>
  <c r="Y22" i="7"/>
  <c r="Z22" i="7"/>
  <c r="Y25" i="7"/>
  <c r="Z25" i="7"/>
  <c r="Y15" i="7"/>
  <c r="Z15" i="7"/>
  <c r="Y23" i="7"/>
  <c r="Z23" i="7"/>
  <c r="AB23" i="7" s="1"/>
  <c r="Y14" i="7"/>
  <c r="Z14" i="7"/>
  <c r="Y38" i="7"/>
  <c r="Z38" i="7"/>
  <c r="Y43" i="7"/>
  <c r="Z43" i="7"/>
  <c r="Y10" i="7"/>
  <c r="Z10" i="7"/>
  <c r="Y33" i="7"/>
  <c r="Z33" i="7"/>
  <c r="AB20" i="7" l="1"/>
  <c r="AB33" i="7"/>
  <c r="AB28" i="7"/>
  <c r="AB24" i="7"/>
  <c r="AB14" i="7"/>
  <c r="AB5" i="7"/>
  <c r="AB27" i="7"/>
  <c r="L4" i="9"/>
  <c r="AB31" i="7"/>
  <c r="AB13" i="7"/>
  <c r="AB15" i="7"/>
  <c r="AB11" i="7"/>
  <c r="AB10" i="7"/>
  <c r="L6" i="9"/>
  <c r="L5" i="9"/>
  <c r="L7" i="9"/>
  <c r="AB25" i="7"/>
  <c r="K4" i="9"/>
  <c r="K5" i="9"/>
  <c r="K6" i="9"/>
  <c r="K7" i="9"/>
  <c r="AB42" i="7"/>
  <c r="AB22" i="7"/>
  <c r="AB26" i="7"/>
  <c r="AB18" i="7"/>
  <c r="AB35" i="7"/>
  <c r="AB17" i="7"/>
  <c r="G4" i="9"/>
  <c r="J4" i="9" a="1"/>
  <c r="J4" i="9" s="1"/>
  <c r="G6" i="9"/>
  <c r="J6" i="9" a="1"/>
  <c r="J6" i="9" s="1"/>
  <c r="G5" i="9"/>
  <c r="J5" i="9" a="1"/>
  <c r="J5" i="9" s="1"/>
  <c r="AB43" i="7"/>
  <c r="AB38" i="7"/>
  <c r="AB12" i="7"/>
  <c r="G7" i="9"/>
  <c r="J7" i="9" a="1"/>
  <c r="J7" i="9" s="1"/>
  <c r="AF28" i="8" l="1"/>
  <c r="Q31" i="8"/>
  <c r="H27" i="8"/>
  <c r="X42" i="8"/>
  <c r="M49" i="8"/>
  <c r="B14" i="8"/>
  <c r="AF25" i="8"/>
  <c r="M19" i="8"/>
  <c r="G44" i="8"/>
  <c r="W48" i="8"/>
  <c r="A10" i="8"/>
  <c r="AE8" i="8"/>
  <c r="U47" i="8"/>
  <c r="K35" i="8"/>
  <c r="Y15" i="8"/>
  <c r="U23" i="8"/>
  <c r="B16" i="8"/>
  <c r="E10" i="8"/>
  <c r="O49" i="8"/>
  <c r="I36" i="8"/>
  <c r="U18" i="8"/>
  <c r="S40" i="8"/>
  <c r="L19" i="8"/>
  <c r="L30" i="8"/>
  <c r="AF16" i="8"/>
  <c r="X28" i="8"/>
  <c r="C31" i="8"/>
  <c r="W11" i="8"/>
  <c r="P5" i="8"/>
  <c r="L36" i="8"/>
  <c r="M28" i="8"/>
  <c r="AF18" i="8"/>
  <c r="C30" i="8"/>
  <c r="E47" i="8"/>
  <c r="AD27" i="8"/>
  <c r="A22" i="8"/>
  <c r="F35" i="8"/>
  <c r="O26" i="8"/>
  <c r="AB25" i="8"/>
  <c r="P49" i="8"/>
  <c r="K41" i="8"/>
  <c r="D21" i="8"/>
  <c r="AE35" i="8"/>
  <c r="S4" i="8"/>
  <c r="A18" i="8"/>
  <c r="S41" i="8"/>
  <c r="F10" i="8"/>
  <c r="AA37" i="8"/>
  <c r="AE25" i="8"/>
  <c r="T11" i="8"/>
  <c r="AD28" i="8"/>
  <c r="A43" i="8"/>
  <c r="I25" i="8"/>
  <c r="F37" i="8"/>
  <c r="S20" i="8"/>
  <c r="H32" i="8"/>
  <c r="I48" i="8"/>
  <c r="A14" i="8"/>
  <c r="T13" i="8"/>
  <c r="W28" i="8"/>
  <c r="E25" i="8"/>
  <c r="U19" i="8"/>
  <c r="O29" i="8"/>
  <c r="X22" i="8"/>
  <c r="S23" i="8"/>
  <c r="Y21" i="8"/>
  <c r="AF47" i="8"/>
  <c r="U30" i="8"/>
  <c r="AB34" i="8"/>
  <c r="M30" i="8"/>
  <c r="J28" i="8"/>
  <c r="V33" i="8"/>
  <c r="AE15" i="8"/>
  <c r="N37" i="8"/>
  <c r="V17" i="8"/>
  <c r="I28" i="8"/>
  <c r="AA36" i="8"/>
  <c r="AE19" i="8"/>
  <c r="C34" i="8"/>
  <c r="L50" i="8"/>
  <c r="F47" i="8"/>
  <c r="O23" i="8"/>
  <c r="S47" i="8"/>
  <c r="AC15" i="8"/>
  <c r="W6" i="8"/>
  <c r="Y39" i="8"/>
  <c r="Q8" i="8"/>
  <c r="N38" i="8"/>
  <c r="AF17" i="8"/>
  <c r="G20" i="8"/>
  <c r="U14" i="8"/>
  <c r="A21" i="8"/>
  <c r="AA9" i="8"/>
  <c r="Q46" i="8"/>
  <c r="S45" i="8"/>
  <c r="F9" i="8"/>
  <c r="H11" i="8"/>
  <c r="D27" i="8"/>
  <c r="H14" i="8"/>
  <c r="O44" i="8"/>
  <c r="AB38" i="8"/>
  <c r="K29" i="8"/>
  <c r="AB29" i="8"/>
  <c r="F12" i="8"/>
  <c r="E43" i="8"/>
  <c r="V32" i="8"/>
  <c r="C21" i="8"/>
  <c r="C8" i="8"/>
  <c r="Z24" i="8"/>
  <c r="F23" i="8"/>
  <c r="P16" i="8"/>
  <c r="X48" i="8"/>
  <c r="U7" i="8"/>
  <c r="V28" i="8"/>
  <c r="B33" i="8"/>
  <c r="Y23" i="8"/>
  <c r="Z29" i="8"/>
  <c r="G30" i="8"/>
  <c r="A7" i="8"/>
  <c r="AA41" i="8"/>
  <c r="H25" i="8"/>
  <c r="AD23" i="8"/>
  <c r="T9" i="8"/>
  <c r="Z38" i="8"/>
  <c r="O5" i="8"/>
  <c r="L13" i="8"/>
  <c r="A8" i="8"/>
  <c r="B45" i="8"/>
  <c r="AF43" i="8"/>
  <c r="T8" i="8"/>
  <c r="N17" i="8"/>
  <c r="K19" i="8"/>
  <c r="D15" i="8"/>
  <c r="W39" i="8"/>
  <c r="H24" i="8"/>
  <c r="U24" i="8"/>
  <c r="M37" i="8"/>
  <c r="J32" i="8"/>
  <c r="U46" i="8"/>
  <c r="G50" i="8"/>
  <c r="P20" i="8"/>
  <c r="U21" i="8"/>
  <c r="Z19" i="8"/>
  <c r="J15" i="8"/>
  <c r="E5" i="8"/>
  <c r="S33" i="8"/>
  <c r="W17" i="8"/>
  <c r="AD16" i="8"/>
  <c r="S48" i="8"/>
  <c r="AC24" i="8"/>
  <c r="O17" i="8"/>
  <c r="U10" i="8"/>
  <c r="H43" i="8"/>
  <c r="AE43" i="8"/>
  <c r="G10" i="8"/>
  <c r="T23" i="8"/>
  <c r="AD29" i="8"/>
  <c r="S31" i="8"/>
  <c r="V26" i="8"/>
  <c r="L27" i="8"/>
  <c r="AC25" i="8"/>
  <c r="W16" i="8"/>
  <c r="X9" i="8"/>
  <c r="AB32" i="8"/>
  <c r="AE33" i="8"/>
  <c r="N7" i="8"/>
  <c r="V27" i="8"/>
  <c r="R26" i="8"/>
  <c r="AE30" i="8"/>
  <c r="D19" i="8"/>
  <c r="D23" i="8"/>
  <c r="H8" i="8"/>
  <c r="I21" i="8"/>
  <c r="G22" i="8"/>
  <c r="L21" i="8"/>
  <c r="M22" i="8"/>
  <c r="N13" i="8"/>
  <c r="AA10" i="8"/>
  <c r="R50" i="8"/>
  <c r="X5" i="8"/>
  <c r="I41" i="8"/>
  <c r="P10" i="8"/>
  <c r="M47" i="8"/>
  <c r="R46" i="8"/>
  <c r="AA30" i="8"/>
  <c r="N30" i="8"/>
  <c r="W45" i="8"/>
  <c r="L12" i="8"/>
  <c r="F18" i="8"/>
  <c r="B34" i="8"/>
  <c r="I24" i="8"/>
  <c r="R17" i="8"/>
  <c r="H33" i="8"/>
  <c r="AD34" i="8"/>
  <c r="Y45" i="8"/>
  <c r="N16" i="8"/>
  <c r="E14" i="8"/>
  <c r="X31" i="8"/>
  <c r="D8" i="8"/>
  <c r="F34" i="8"/>
  <c r="AC35" i="8"/>
  <c r="B44" i="8"/>
  <c r="D22" i="8"/>
  <c r="D7" i="8"/>
  <c r="AA50" i="8"/>
  <c r="S18" i="8"/>
  <c r="M21" i="8"/>
  <c r="AB35" i="8"/>
  <c r="I10" i="8"/>
  <c r="AC10" i="8"/>
  <c r="F43" i="8"/>
  <c r="AC22" i="8"/>
  <c r="U22" i="8"/>
  <c r="P35" i="8"/>
  <c r="Q22" i="8"/>
  <c r="Q6" i="8"/>
  <c r="AB28" i="8"/>
  <c r="AA5" i="8"/>
  <c r="G25" i="8"/>
  <c r="AF27" i="8"/>
  <c r="E42" i="8"/>
  <c r="AD17" i="8"/>
  <c r="B21" i="8"/>
  <c r="T48" i="8"/>
  <c r="S8" i="8"/>
  <c r="D36" i="8"/>
  <c r="O11" i="8"/>
  <c r="M44" i="8"/>
  <c r="Y24" i="8"/>
  <c r="U29" i="8"/>
  <c r="AD49" i="8"/>
  <c r="D29" i="8"/>
  <c r="T20" i="8"/>
  <c r="O25" i="8"/>
  <c r="K40" i="8"/>
  <c r="U11" i="8"/>
  <c r="T36" i="8"/>
  <c r="F7" i="8"/>
  <c r="X47" i="8"/>
  <c r="X18" i="8"/>
  <c r="AB17" i="8"/>
  <c r="S29" i="8"/>
  <c r="T28" i="8"/>
  <c r="V47" i="8"/>
  <c r="AB12" i="8"/>
  <c r="AC29" i="8"/>
  <c r="D49" i="8"/>
  <c r="AD39" i="8"/>
  <c r="AC49" i="8"/>
  <c r="AE7" i="8"/>
  <c r="K5" i="8"/>
  <c r="J8" i="8"/>
  <c r="N49" i="8"/>
  <c r="T49" i="8"/>
  <c r="D37" i="8"/>
  <c r="AA4" i="8"/>
  <c r="V45" i="8"/>
  <c r="T29" i="8"/>
  <c r="F26" i="8"/>
  <c r="B19" i="8"/>
  <c r="T24" i="8"/>
  <c r="J30" i="8"/>
  <c r="E49" i="8"/>
  <c r="G16" i="8"/>
  <c r="J42" i="8"/>
  <c r="X8" i="8"/>
  <c r="Z42" i="8"/>
  <c r="W35" i="8"/>
  <c r="Z35" i="8"/>
  <c r="AB6" i="8"/>
  <c r="AB48" i="8"/>
  <c r="P31" i="8"/>
  <c r="E31" i="8"/>
  <c r="R40" i="8"/>
  <c r="AC27" i="8"/>
  <c r="B42" i="8"/>
  <c r="P45" i="8"/>
  <c r="C50" i="8"/>
  <c r="AF5" i="8"/>
  <c r="A42" i="8"/>
  <c r="H9" i="8"/>
  <c r="W18" i="8"/>
  <c r="Z36" i="8"/>
  <c r="C47" i="8"/>
  <c r="C48" i="8"/>
  <c r="AD12" i="8"/>
  <c r="V8" i="8"/>
  <c r="P18" i="8"/>
  <c r="H10" i="8"/>
  <c r="H13" i="8"/>
  <c r="K31" i="8"/>
  <c r="AF45" i="8"/>
  <c r="F8" i="8"/>
  <c r="C27" i="8"/>
  <c r="AD22" i="8"/>
  <c r="H31" i="8"/>
  <c r="AB44" i="8"/>
  <c r="J22" i="8"/>
  <c r="P26" i="8"/>
  <c r="C20" i="8"/>
  <c r="O47" i="8"/>
  <c r="A16" i="8"/>
  <c r="D31" i="8"/>
  <c r="AA26" i="8"/>
  <c r="A27" i="8"/>
  <c r="B37" i="8"/>
  <c r="AB9" i="8"/>
  <c r="P24" i="8"/>
  <c r="X6" i="8"/>
  <c r="P38" i="8"/>
  <c r="AF29" i="8"/>
  <c r="T12" i="8"/>
  <c r="N5" i="8"/>
  <c r="AD8" i="8"/>
  <c r="D41" i="8"/>
  <c r="X20" i="8"/>
  <c r="T30" i="8"/>
  <c r="O30" i="8"/>
  <c r="D43" i="8"/>
  <c r="A28" i="8"/>
  <c r="M7" i="8"/>
  <c r="L43" i="8"/>
  <c r="A26" i="8"/>
  <c r="K28" i="8"/>
  <c r="C40" i="8"/>
  <c r="K22" i="8"/>
  <c r="AA18" i="8"/>
  <c r="O50" i="8"/>
  <c r="G8" i="8"/>
  <c r="AF6" i="8"/>
  <c r="I6" i="8"/>
  <c r="AC33" i="8"/>
  <c r="M48" i="8"/>
  <c r="G47" i="8"/>
  <c r="AF20" i="8"/>
  <c r="B10" i="8"/>
  <c r="AC32" i="8"/>
  <c r="G35" i="8"/>
  <c r="M13" i="8"/>
  <c r="K10" i="8"/>
  <c r="S24" i="8"/>
  <c r="M31" i="8"/>
  <c r="T15" i="8"/>
  <c r="V39" i="8"/>
  <c r="AB20" i="8"/>
  <c r="AB33" i="8"/>
  <c r="N19" i="8"/>
  <c r="C10" i="8"/>
  <c r="J12" i="8"/>
  <c r="U26" i="8"/>
  <c r="F17" i="8"/>
  <c r="K38" i="8"/>
  <c r="I9" i="8"/>
  <c r="V29" i="8"/>
  <c r="W14" i="8"/>
  <c r="AE5" i="8"/>
  <c r="P14" i="8"/>
  <c r="V6" i="8"/>
  <c r="B50" i="8"/>
  <c r="G19" i="8"/>
  <c r="AB7" i="8"/>
  <c r="I20" i="8"/>
  <c r="AA46" i="8"/>
  <c r="T17" i="8"/>
  <c r="A11" i="8"/>
  <c r="I7" i="9"/>
  <c r="H7" i="9"/>
  <c r="E44" i="8"/>
  <c r="E6" i="8"/>
  <c r="V49" i="8"/>
  <c r="L39" i="8"/>
  <c r="AD37" i="8"/>
  <c r="L16" i="8"/>
  <c r="O46" i="8"/>
  <c r="L48" i="8"/>
  <c r="AC28" i="8"/>
  <c r="S9" i="8"/>
  <c r="Y12" i="8"/>
  <c r="J6" i="8"/>
  <c r="AC31" i="8"/>
  <c r="V11" i="8"/>
  <c r="K16" i="8"/>
  <c r="Y16" i="8"/>
  <c r="AD24" i="8"/>
  <c r="L20" i="8"/>
  <c r="H18" i="8"/>
  <c r="M17" i="8"/>
  <c r="I34" i="8"/>
  <c r="Y27" i="8"/>
  <c r="E29" i="8"/>
  <c r="W13" i="8"/>
  <c r="H29" i="8"/>
  <c r="AB42" i="8"/>
  <c r="AE41" i="8"/>
  <c r="O27" i="8"/>
  <c r="N26" i="8"/>
  <c r="AC19" i="8"/>
  <c r="AA16" i="8"/>
  <c r="D28" i="8"/>
  <c r="AA49" i="8"/>
  <c r="Z44" i="8"/>
  <c r="Q39" i="8"/>
  <c r="M40" i="8"/>
  <c r="R48" i="8"/>
  <c r="Z12" i="8"/>
  <c r="T34" i="8"/>
  <c r="F19" i="8"/>
  <c r="N39" i="8"/>
  <c r="T32" i="8"/>
  <c r="R34" i="8"/>
  <c r="U4" i="8"/>
  <c r="L45" i="8"/>
  <c r="I50" i="8"/>
  <c r="AC34" i="8"/>
  <c r="A19" i="8"/>
  <c r="Q7" i="8"/>
  <c r="K12" i="8"/>
  <c r="X40" i="8"/>
  <c r="V42" i="8"/>
  <c r="K37" i="8"/>
  <c r="I26" i="8"/>
  <c r="K33" i="8"/>
  <c r="B40" i="8"/>
  <c r="Y50" i="8"/>
  <c r="I30" i="8"/>
  <c r="O39" i="8"/>
  <c r="I15" i="8"/>
  <c r="K26" i="8"/>
  <c r="V31" i="8"/>
  <c r="Z16" i="8"/>
  <c r="K15" i="8"/>
  <c r="AF46" i="8"/>
  <c r="G45" i="8"/>
  <c r="F6" i="8"/>
  <c r="A40" i="8"/>
  <c r="T22" i="8"/>
  <c r="S5" i="8"/>
  <c r="G37" i="8"/>
  <c r="E7" i="8"/>
  <c r="AE22" i="8"/>
  <c r="B31" i="8"/>
  <c r="T18" i="8"/>
  <c r="D50" i="8"/>
  <c r="C19" i="8"/>
  <c r="P41" i="8"/>
  <c r="C46" i="8"/>
  <c r="AF33" i="8"/>
  <c r="A48" i="8"/>
  <c r="W38" i="8"/>
  <c r="F41" i="8"/>
  <c r="T45" i="8"/>
  <c r="AE50" i="8"/>
  <c r="H46" i="8"/>
  <c r="C32" i="8"/>
  <c r="Q43" i="8"/>
  <c r="F32" i="8"/>
  <c r="Z14" i="8"/>
  <c r="S22" i="8"/>
  <c r="O38" i="8"/>
  <c r="I11" i="8"/>
  <c r="O19" i="8"/>
  <c r="W46" i="8"/>
  <c r="I8" i="8"/>
  <c r="K17" i="8"/>
  <c r="X13" i="8"/>
  <c r="AB4" i="8"/>
  <c r="Z33" i="8"/>
  <c r="I17" i="8"/>
  <c r="AE42" i="8"/>
  <c r="Z6" i="8"/>
  <c r="AE6" i="8"/>
  <c r="W31" i="8"/>
  <c r="A15" i="8"/>
  <c r="Y18" i="8"/>
  <c r="AD26" i="8"/>
  <c r="K23" i="8"/>
  <c r="I7" i="8"/>
  <c r="F27" i="8"/>
  <c r="AE32" i="8"/>
  <c r="Q38" i="8"/>
  <c r="I22" i="8"/>
  <c r="X33" i="8"/>
  <c r="R11" i="8"/>
  <c r="E20" i="8"/>
  <c r="Y49" i="8"/>
  <c r="N20" i="8"/>
  <c r="X50" i="8"/>
  <c r="U37" i="8"/>
  <c r="AA8" i="8"/>
  <c r="H26" i="8"/>
  <c r="W34" i="8"/>
  <c r="AA11" i="8"/>
  <c r="AC11" i="8"/>
  <c r="P34" i="8"/>
  <c r="M29" i="8"/>
  <c r="Z18" i="8"/>
  <c r="Q45" i="8"/>
  <c r="AC37" i="8"/>
  <c r="M26" i="8"/>
  <c r="W43" i="8"/>
  <c r="W49" i="8"/>
  <c r="L49" i="8"/>
  <c r="G17" i="8"/>
  <c r="AE9" i="8"/>
  <c r="AE16" i="8"/>
  <c r="V21" i="8"/>
  <c r="AF39" i="8"/>
  <c r="C14" i="8"/>
  <c r="P48" i="8"/>
  <c r="W44" i="8"/>
  <c r="AC13" i="8"/>
  <c r="B39" i="8"/>
  <c r="M50" i="8"/>
  <c r="AF42" i="8"/>
  <c r="A35" i="8"/>
  <c r="X21" i="8"/>
  <c r="J31" i="8"/>
  <c r="AE48" i="8"/>
  <c r="S7" i="8"/>
  <c r="AD18" i="8"/>
  <c r="N27" i="8"/>
  <c r="H35" i="8"/>
  <c r="Q35" i="8"/>
  <c r="R32" i="8"/>
  <c r="I14" i="8"/>
  <c r="K32" i="8"/>
  <c r="V14" i="8"/>
  <c r="AC44" i="8"/>
  <c r="R33" i="8"/>
  <c r="B27" i="8"/>
  <c r="Y44" i="8"/>
  <c r="T47" i="8"/>
  <c r="AC30" i="8"/>
  <c r="Q47" i="8"/>
  <c r="F30" i="8"/>
  <c r="V43" i="8"/>
  <c r="M10" i="8"/>
  <c r="AB13" i="8"/>
  <c r="S28" i="8"/>
  <c r="G32" i="8"/>
  <c r="I38" i="8"/>
  <c r="B48" i="8"/>
  <c r="X34" i="8"/>
  <c r="AC38" i="8"/>
  <c r="I23" i="8"/>
  <c r="U31" i="8"/>
  <c r="C26" i="8"/>
  <c r="Q49" i="8"/>
  <c r="C18" i="8"/>
  <c r="G39" i="8"/>
  <c r="AE13" i="8"/>
  <c r="M18" i="8"/>
  <c r="U36" i="8"/>
  <c r="P27" i="8"/>
  <c r="G43" i="8"/>
  <c r="B11" i="8"/>
  <c r="L5" i="8"/>
  <c r="Q44" i="8"/>
  <c r="S36" i="8"/>
  <c r="E38" i="8"/>
  <c r="V5" i="8"/>
  <c r="J11" i="8"/>
  <c r="AF36" i="8"/>
  <c r="T25" i="8"/>
  <c r="Q9" i="8"/>
  <c r="AA45" i="8"/>
  <c r="D47" i="8"/>
  <c r="J33" i="8"/>
  <c r="AB5" i="8"/>
  <c r="AC4" i="8"/>
  <c r="H28" i="8"/>
  <c r="F24" i="8"/>
  <c r="X45" i="8"/>
  <c r="AD14" i="8"/>
  <c r="Y26" i="8"/>
  <c r="I19" i="8"/>
  <c r="L41" i="8"/>
  <c r="AA35" i="8"/>
  <c r="AB14" i="8"/>
  <c r="V22" i="8"/>
  <c r="Z49" i="8"/>
  <c r="Z39" i="8"/>
  <c r="O32" i="8"/>
  <c r="P32" i="8"/>
  <c r="S14" i="8"/>
  <c r="R12" i="8"/>
  <c r="AE24" i="8"/>
  <c r="J34" i="8"/>
  <c r="W41" i="8"/>
  <c r="AE18" i="8"/>
  <c r="G15" i="8"/>
  <c r="AF15" i="8"/>
  <c r="AB23" i="8"/>
  <c r="N46" i="8"/>
  <c r="F36" i="8"/>
  <c r="P6" i="8"/>
  <c r="E48" i="8"/>
  <c r="AA40" i="8"/>
  <c r="F38" i="8"/>
  <c r="R16" i="8"/>
  <c r="H19" i="8"/>
  <c r="AB19" i="8"/>
  <c r="Y9" i="8"/>
  <c r="K14" i="8"/>
  <c r="K9" i="8"/>
  <c r="H40" i="8"/>
  <c r="AC43" i="8"/>
  <c r="N43" i="8"/>
  <c r="AE47" i="8"/>
  <c r="G31" i="8"/>
  <c r="AB22" i="8"/>
  <c r="I6" i="9"/>
  <c r="H6" i="9"/>
  <c r="N47" i="8"/>
  <c r="AD19" i="8"/>
  <c r="Q14" i="8"/>
  <c r="AB39" i="8"/>
  <c r="K50" i="8"/>
  <c r="Y32" i="8"/>
  <c r="AC16" i="8"/>
  <c r="R44" i="8"/>
  <c r="A25" i="8"/>
  <c r="AC12" i="8"/>
  <c r="I29" i="8"/>
  <c r="G21" i="8"/>
  <c r="A6" i="8"/>
  <c r="O20" i="8"/>
  <c r="C22" i="8"/>
  <c r="V7" i="8"/>
  <c r="AE36" i="8"/>
  <c r="AD40" i="8"/>
  <c r="Z4" i="8"/>
  <c r="L15" i="8"/>
  <c r="AF30" i="8"/>
  <c r="U15" i="8"/>
  <c r="X35" i="8"/>
  <c r="L34" i="8"/>
  <c r="H47" i="8"/>
  <c r="G46" i="8"/>
  <c r="C6" i="8"/>
  <c r="N42" i="8"/>
  <c r="X19" i="8"/>
  <c r="C9" i="8"/>
  <c r="Z17" i="8"/>
  <c r="J47" i="8"/>
  <c r="AA31" i="8"/>
  <c r="L11" i="8"/>
  <c r="K49" i="8"/>
  <c r="AB27" i="8"/>
  <c r="J46" i="8"/>
  <c r="AE49" i="8"/>
  <c r="AB41" i="8"/>
  <c r="L42" i="8"/>
  <c r="L18" i="8"/>
  <c r="Q29" i="8"/>
  <c r="AE38" i="8"/>
  <c r="W23" i="8"/>
  <c r="T4" i="8"/>
  <c r="AA6" i="8"/>
  <c r="C13" i="8"/>
  <c r="L35" i="8"/>
  <c r="AE17" i="8"/>
  <c r="J50" i="8"/>
  <c r="K8" i="8"/>
  <c r="AC14" i="8"/>
  <c r="S15" i="8"/>
  <c r="AC47" i="8"/>
  <c r="J27" i="8"/>
  <c r="C43" i="8"/>
  <c r="Z31" i="8"/>
  <c r="G36" i="8"/>
  <c r="AC41" i="8"/>
  <c r="W36" i="8"/>
  <c r="W32" i="8"/>
  <c r="AC7" i="8"/>
  <c r="AC46" i="8"/>
  <c r="A49" i="8"/>
  <c r="H15" i="8"/>
  <c r="O36" i="8"/>
  <c r="K45" i="8"/>
  <c r="T27" i="8"/>
  <c r="A38" i="8"/>
  <c r="AB31" i="8"/>
  <c r="O14" i="8"/>
  <c r="M15" i="8"/>
  <c r="AF13" i="8"/>
  <c r="AA28" i="8"/>
  <c r="Q40" i="8"/>
  <c r="B18" i="8"/>
  <c r="P40" i="8"/>
  <c r="Z26" i="8"/>
  <c r="T37" i="8"/>
  <c r="K11" i="8"/>
  <c r="AD7" i="8"/>
  <c r="Q23" i="8"/>
  <c r="A50" i="8"/>
  <c r="AB18" i="8"/>
  <c r="X44" i="8"/>
  <c r="N48" i="8"/>
  <c r="AA22" i="8"/>
  <c r="M23" i="8"/>
  <c r="Y33" i="8"/>
  <c r="Z5" i="8"/>
  <c r="D40" i="8"/>
  <c r="Q12" i="8"/>
  <c r="W29" i="8"/>
  <c r="Q48" i="8"/>
  <c r="Y41" i="8"/>
  <c r="D18" i="8"/>
  <c r="O40" i="8"/>
  <c r="H16" i="8"/>
  <c r="T31" i="8"/>
  <c r="H4" i="8"/>
  <c r="AD30" i="8"/>
  <c r="U44" i="8"/>
  <c r="AC42" i="8"/>
  <c r="Z47" i="8"/>
  <c r="AA44" i="8"/>
  <c r="AC18" i="8"/>
  <c r="AD5" i="8"/>
  <c r="R47" i="8"/>
  <c r="R9" i="8"/>
  <c r="H48" i="8"/>
  <c r="N11" i="8"/>
  <c r="H44" i="8"/>
  <c r="G23" i="8"/>
  <c r="X15" i="8"/>
  <c r="AE46" i="8"/>
  <c r="F22" i="8"/>
  <c r="S34" i="8"/>
  <c r="X4" i="8"/>
  <c r="Q10" i="8"/>
  <c r="E27" i="8"/>
  <c r="N12" i="8"/>
  <c r="Z25" i="8"/>
  <c r="V16" i="8"/>
  <c r="X30" i="8"/>
  <c r="E23" i="8"/>
  <c r="S17" i="8"/>
  <c r="J13" i="8"/>
  <c r="I45" i="8"/>
  <c r="AC8" i="8"/>
  <c r="A33" i="8"/>
  <c r="Z34" i="8"/>
  <c r="B13" i="8"/>
  <c r="AE12" i="8"/>
  <c r="F42" i="8"/>
  <c r="R31" i="8"/>
  <c r="S12" i="8"/>
  <c r="D6" i="8"/>
  <c r="F40" i="8"/>
  <c r="W24" i="8"/>
  <c r="A24" i="8"/>
  <c r="Y40" i="8"/>
  <c r="AB15" i="8"/>
  <c r="N45" i="8"/>
  <c r="E32" i="8"/>
  <c r="S21" i="8"/>
  <c r="B9" i="8"/>
  <c r="F44" i="8"/>
  <c r="AF44" i="8"/>
  <c r="X37" i="8"/>
  <c r="L40" i="8"/>
  <c r="AF22" i="8"/>
  <c r="U42" i="8"/>
  <c r="C39" i="8"/>
  <c r="AD50" i="8"/>
  <c r="B47" i="8"/>
  <c r="AD20" i="8"/>
  <c r="D9" i="8"/>
  <c r="M14" i="8"/>
  <c r="Z15" i="8"/>
  <c r="U48" i="8"/>
  <c r="AA7" i="8"/>
  <c r="AA17" i="8"/>
  <c r="G18" i="8"/>
  <c r="W21" i="8"/>
  <c r="M45" i="8"/>
  <c r="R20" i="8"/>
  <c r="Y29" i="8"/>
  <c r="Y48" i="8"/>
  <c r="A30" i="8"/>
  <c r="AD35" i="8"/>
  <c r="Z13" i="8"/>
  <c r="Z46" i="8"/>
  <c r="C44" i="8"/>
  <c r="V25" i="8"/>
  <c r="I32" i="8"/>
  <c r="P22" i="8"/>
  <c r="L23" i="8"/>
  <c r="B8" i="8"/>
  <c r="K34" i="8"/>
  <c r="B4" i="8"/>
  <c r="S30" i="8"/>
  <c r="AC23" i="8"/>
  <c r="C25" i="8"/>
  <c r="AA25" i="8"/>
  <c r="K30" i="8"/>
  <c r="E22" i="8"/>
  <c r="L22" i="8"/>
  <c r="R38" i="8"/>
  <c r="R41" i="8"/>
  <c r="Y20" i="8"/>
  <c r="N32" i="8"/>
  <c r="I33" i="8"/>
  <c r="R5" i="8"/>
  <c r="J14" i="8"/>
  <c r="A23" i="8"/>
  <c r="R19" i="8"/>
  <c r="A13" i="8"/>
  <c r="E9" i="8"/>
  <c r="O21" i="8"/>
  <c r="Y22" i="8"/>
  <c r="E18" i="8"/>
  <c r="AD32" i="8"/>
  <c r="U28" i="8"/>
  <c r="Z28" i="8"/>
  <c r="U6" i="8"/>
  <c r="AA20" i="8"/>
  <c r="T33" i="8"/>
  <c r="B29" i="8"/>
  <c r="W27" i="8"/>
  <c r="AD21" i="8"/>
  <c r="J40" i="8"/>
  <c r="E21" i="8"/>
  <c r="AE40" i="8"/>
  <c r="C35" i="8"/>
  <c r="B25" i="8"/>
  <c r="U27" i="8"/>
  <c r="AB26" i="8"/>
  <c r="AF37" i="8"/>
  <c r="I5" i="9"/>
  <c r="H5" i="9"/>
  <c r="Y5" i="8"/>
  <c r="B43" i="8"/>
  <c r="M41" i="8"/>
  <c r="B6" i="8"/>
  <c r="V36" i="8"/>
  <c r="S16" i="8"/>
  <c r="C36" i="8"/>
  <c r="P23" i="8"/>
  <c r="AE34" i="8"/>
  <c r="J43" i="8"/>
  <c r="P47" i="8"/>
  <c r="R21" i="8"/>
  <c r="B49" i="8"/>
  <c r="F29" i="8"/>
  <c r="O48" i="8"/>
  <c r="U43" i="8"/>
  <c r="B15" i="8"/>
  <c r="T21" i="8"/>
  <c r="M46" i="8"/>
  <c r="P4" i="8"/>
  <c r="C23" i="8"/>
  <c r="O10" i="8"/>
  <c r="AB11" i="8"/>
  <c r="D39" i="8"/>
  <c r="K27" i="8"/>
  <c r="W19" i="8"/>
  <c r="V19" i="8"/>
  <c r="D4" i="8"/>
  <c r="T7" i="8"/>
  <c r="AC20" i="8"/>
  <c r="U39" i="8"/>
  <c r="A44" i="8"/>
  <c r="D26" i="8"/>
  <c r="AA43" i="8"/>
  <c r="T19" i="8"/>
  <c r="I49" i="8"/>
  <c r="N23" i="8"/>
  <c r="P50" i="8"/>
  <c r="AC36" i="8"/>
  <c r="P12" i="8"/>
  <c r="S19" i="8"/>
  <c r="AE28" i="8"/>
  <c r="G11" i="8"/>
  <c r="AB30" i="8"/>
  <c r="G33" i="8"/>
  <c r="M27" i="8"/>
  <c r="C49" i="8"/>
  <c r="F5" i="8"/>
  <c r="H37" i="8"/>
  <c r="Y6" i="8"/>
  <c r="O22" i="8"/>
  <c r="W47" i="8"/>
  <c r="J24" i="8"/>
  <c r="S38" i="8"/>
  <c r="P33" i="8"/>
  <c r="N28" i="8"/>
  <c r="N24" i="8"/>
  <c r="AA47" i="8"/>
  <c r="T6" i="8"/>
  <c r="J7" i="8"/>
  <c r="A31" i="8"/>
  <c r="AA12" i="8"/>
  <c r="N4" i="8"/>
  <c r="H45" i="8"/>
  <c r="A47" i="8"/>
  <c r="M33" i="8"/>
  <c r="AE27" i="8"/>
  <c r="Z37" i="8"/>
  <c r="D10" i="8"/>
  <c r="N18" i="8"/>
  <c r="Y35" i="8"/>
  <c r="M43" i="8"/>
  <c r="B23" i="8"/>
  <c r="AF24" i="8"/>
  <c r="B7" i="8"/>
  <c r="H20" i="8"/>
  <c r="AA19" i="8"/>
  <c r="N9" i="8"/>
  <c r="AC39" i="8"/>
  <c r="AD45" i="8"/>
  <c r="Z50" i="8"/>
  <c r="AF14" i="8"/>
  <c r="V30" i="8"/>
  <c r="V4" i="8"/>
  <c r="J16" i="8"/>
  <c r="B36" i="8"/>
  <c r="V50" i="8"/>
  <c r="AE26" i="8"/>
  <c r="T10" i="8"/>
  <c r="C29" i="8"/>
  <c r="B12" i="8"/>
  <c r="K43" i="8"/>
  <c r="C33" i="8"/>
  <c r="Y34" i="8"/>
  <c r="F11" i="8"/>
  <c r="R4" i="8"/>
  <c r="X46" i="8"/>
  <c r="Q50" i="8"/>
  <c r="F39" i="8"/>
  <c r="O4" i="8"/>
  <c r="R43" i="8"/>
  <c r="T44" i="8"/>
  <c r="F13" i="8"/>
  <c r="X25" i="8"/>
  <c r="AA34" i="8"/>
  <c r="M20" i="8"/>
  <c r="B17" i="8"/>
  <c r="R45" i="8"/>
  <c r="AE37" i="8"/>
  <c r="B30" i="8"/>
  <c r="A9" i="8"/>
  <c r="H30" i="8"/>
  <c r="G6" i="8"/>
  <c r="U25" i="8"/>
  <c r="F15" i="8"/>
  <c r="I4" i="8"/>
  <c r="E50" i="8"/>
  <c r="Z9" i="8"/>
  <c r="D45" i="8"/>
  <c r="J23" i="8"/>
  <c r="AF31" i="8"/>
  <c r="V35" i="8"/>
  <c r="U50" i="8"/>
  <c r="L46" i="8"/>
  <c r="AD11" i="8"/>
  <c r="AD9" i="8"/>
  <c r="AD43" i="8"/>
  <c r="Y42" i="8"/>
  <c r="W22" i="8"/>
  <c r="O35" i="8"/>
  <c r="B24" i="8"/>
  <c r="E15" i="8"/>
  <c r="R18" i="8"/>
  <c r="AC50" i="8"/>
  <c r="I31" i="8"/>
  <c r="AB21" i="8"/>
  <c r="AF38" i="8"/>
  <c r="N40" i="8"/>
  <c r="K6" i="8"/>
  <c r="D25" i="8"/>
  <c r="J29" i="8"/>
  <c r="AF10" i="8"/>
  <c r="D42" i="8"/>
  <c r="L25" i="8"/>
  <c r="AC40" i="8"/>
  <c r="K20" i="8"/>
  <c r="AA15" i="8"/>
  <c r="AD25" i="8"/>
  <c r="D14" i="8"/>
  <c r="T16" i="8"/>
  <c r="Q11" i="8"/>
  <c r="K21" i="8"/>
  <c r="X29" i="8"/>
  <c r="AC6" i="8"/>
  <c r="Q20" i="8"/>
  <c r="U13" i="8"/>
  <c r="AD48" i="8"/>
  <c r="C28" i="8"/>
  <c r="X17" i="8"/>
  <c r="S13" i="8"/>
  <c r="AF4" i="8"/>
  <c r="V9" i="8"/>
  <c r="M24" i="8"/>
  <c r="C5" i="8"/>
  <c r="F20" i="8"/>
  <c r="G7" i="8"/>
  <c r="J44" i="8"/>
  <c r="F50" i="8"/>
  <c r="O31" i="8"/>
  <c r="S39" i="8"/>
  <c r="I5" i="8"/>
  <c r="P19" i="8"/>
  <c r="S25" i="8"/>
  <c r="B5" i="8"/>
  <c r="AD10" i="8"/>
  <c r="P44" i="8"/>
  <c r="R10" i="8"/>
  <c r="O37" i="8"/>
  <c r="J48" i="8"/>
  <c r="T38" i="8"/>
  <c r="L31" i="8"/>
  <c r="G26" i="8"/>
  <c r="L4" i="8"/>
  <c r="I35" i="8"/>
  <c r="S35" i="8"/>
  <c r="J17" i="8"/>
  <c r="U12" i="8"/>
  <c r="K7" i="8"/>
  <c r="AE11" i="8"/>
  <c r="Y47" i="8"/>
  <c r="Y31" i="8"/>
  <c r="D33" i="8"/>
  <c r="W10" i="8"/>
  <c r="AB37" i="8"/>
  <c r="K42" i="8"/>
  <c r="I16" i="8"/>
  <c r="C4" i="8"/>
  <c r="L38" i="8"/>
  <c r="R42" i="8"/>
  <c r="I42" i="8"/>
  <c r="W42" i="8"/>
  <c r="AE14" i="8"/>
  <c r="L17" i="8"/>
  <c r="AC48" i="8"/>
  <c r="L32" i="8"/>
  <c r="AF32" i="8"/>
  <c r="B38" i="8"/>
  <c r="C42" i="8"/>
  <c r="N14" i="8"/>
  <c r="W15" i="8"/>
  <c r="I40" i="8"/>
  <c r="L29" i="8"/>
  <c r="H21" i="8"/>
  <c r="F45" i="8"/>
  <c r="S27" i="8"/>
  <c r="AD15" i="8"/>
  <c r="V41" i="8"/>
  <c r="E34" i="8"/>
  <c r="J20" i="8"/>
  <c r="J25" i="8"/>
  <c r="J36" i="8"/>
  <c r="Y25" i="8"/>
  <c r="H49" i="8"/>
  <c r="K48" i="8"/>
  <c r="J38" i="8"/>
  <c r="Z10" i="8"/>
  <c r="T5" i="8"/>
  <c r="Q26" i="8"/>
  <c r="N44" i="8"/>
  <c r="D30" i="8"/>
  <c r="S26" i="8"/>
  <c r="X14" i="8"/>
  <c r="X38" i="8"/>
  <c r="F31" i="8"/>
  <c r="AE29" i="8"/>
  <c r="C37" i="8"/>
  <c r="Y14" i="8"/>
  <c r="A17" i="8"/>
  <c r="L7" i="8"/>
  <c r="W26" i="8"/>
  <c r="O12" i="8"/>
  <c r="O9" i="8"/>
  <c r="R14" i="8"/>
  <c r="E41" i="8"/>
  <c r="AF9" i="8"/>
  <c r="W25" i="8"/>
  <c r="T46" i="8"/>
  <c r="O42" i="8"/>
  <c r="U35" i="8"/>
  <c r="U8" i="8"/>
  <c r="P25" i="8"/>
  <c r="Q17" i="8"/>
  <c r="W33" i="8"/>
  <c r="Q30" i="8"/>
  <c r="P28" i="8"/>
  <c r="X11" i="8"/>
  <c r="AA48" i="8"/>
  <c r="E13" i="8"/>
  <c r="Y4" i="8"/>
  <c r="A46" i="8"/>
  <c r="H12" i="8"/>
  <c r="E45" i="8"/>
  <c r="P37" i="8"/>
  <c r="L37" i="8"/>
  <c r="Q13" i="8"/>
  <c r="L9" i="8"/>
  <c r="Y13" i="8"/>
  <c r="R35" i="8"/>
  <c r="U32" i="8"/>
  <c r="Q36" i="8"/>
  <c r="J49" i="8"/>
  <c r="I43" i="8"/>
  <c r="A36" i="8"/>
  <c r="AC21" i="8"/>
  <c r="Q25" i="8"/>
  <c r="O33" i="8"/>
  <c r="O8" i="8"/>
  <c r="E4" i="8"/>
  <c r="B26" i="8"/>
  <c r="V13" i="8"/>
  <c r="W50" i="8"/>
  <c r="A34" i="8"/>
  <c r="T43" i="8"/>
  <c r="AE44" i="8"/>
  <c r="AF23" i="8"/>
  <c r="G38" i="8"/>
  <c r="AE10" i="8"/>
  <c r="AE39" i="8"/>
  <c r="AD4" i="8"/>
  <c r="I18" i="8"/>
  <c r="B32" i="8"/>
  <c r="G4" i="8"/>
  <c r="L6" i="8"/>
  <c r="X41" i="8"/>
  <c r="U33" i="8"/>
  <c r="M8" i="8"/>
  <c r="W40" i="8"/>
  <c r="K46" i="8"/>
  <c r="D5" i="8"/>
  <c r="U20" i="8"/>
  <c r="Y43" i="8"/>
  <c r="AF34" i="8"/>
  <c r="X27" i="8"/>
  <c r="T50" i="8"/>
  <c r="AC9" i="8"/>
  <c r="M32" i="8"/>
  <c r="G14" i="8"/>
  <c r="L47" i="8"/>
  <c r="Z45" i="8"/>
  <c r="K18" i="8"/>
  <c r="H42" i="8"/>
  <c r="T40" i="8"/>
  <c r="T39" i="8"/>
  <c r="AD46" i="8"/>
  <c r="H22" i="8"/>
  <c r="AA13" i="8"/>
  <c r="P7" i="8"/>
  <c r="AB10" i="8"/>
  <c r="T41" i="8"/>
  <c r="O13" i="8"/>
  <c r="E24" i="8"/>
  <c r="U41" i="8"/>
  <c r="E12" i="8"/>
  <c r="Q18" i="8"/>
  <c r="N41" i="8"/>
  <c r="Q28" i="8"/>
  <c r="Z43" i="8"/>
  <c r="H38" i="8"/>
  <c r="T26" i="8"/>
  <c r="P21" i="8"/>
  <c r="M38" i="8"/>
  <c r="N36" i="8"/>
  <c r="Q33" i="8"/>
  <c r="P9" i="8"/>
  <c r="D16" i="8"/>
  <c r="AC17" i="8"/>
  <c r="O24" i="8"/>
  <c r="P8" i="8"/>
  <c r="V18" i="8"/>
  <c r="V38" i="8"/>
  <c r="O6" i="8"/>
  <c r="N10" i="8"/>
  <c r="J35" i="8"/>
  <c r="M5" i="8"/>
  <c r="G5" i="8"/>
  <c r="G28" i="8"/>
  <c r="G13" i="8"/>
  <c r="Z7" i="8"/>
  <c r="M36" i="8"/>
  <c r="R7" i="8"/>
  <c r="AF26" i="8"/>
  <c r="X49" i="8"/>
  <c r="R37" i="8"/>
  <c r="AD13" i="8"/>
  <c r="K36" i="8"/>
  <c r="Q19" i="8"/>
  <c r="K4" i="8"/>
  <c r="P36" i="8"/>
  <c r="D20" i="8"/>
  <c r="A4" i="8"/>
  <c r="R36" i="8"/>
  <c r="F28" i="8"/>
  <c r="U5" i="8"/>
  <c r="Y38" i="8"/>
  <c r="A37" i="8"/>
  <c r="S44" i="8"/>
  <c r="Q41" i="8"/>
  <c r="M12" i="8"/>
  <c r="R8" i="8"/>
  <c r="C17" i="8"/>
  <c r="E19" i="8"/>
  <c r="AA32" i="8"/>
  <c r="R27" i="8"/>
  <c r="H34" i="8"/>
  <c r="T42" i="8"/>
  <c r="Q34" i="8"/>
  <c r="M34" i="8"/>
  <c r="D46" i="8"/>
  <c r="AD47" i="8"/>
  <c r="E30" i="8"/>
  <c r="C38" i="8"/>
  <c r="AB46" i="8"/>
  <c r="AD41" i="8"/>
  <c r="G27" i="8"/>
  <c r="AA33" i="8"/>
  <c r="AD36" i="8"/>
  <c r="Q27" i="8"/>
  <c r="Q5" i="8"/>
  <c r="Y17" i="8"/>
  <c r="Q32" i="8"/>
  <c r="R30" i="8"/>
  <c r="AA21" i="8"/>
  <c r="F14" i="8"/>
  <c r="E36" i="8"/>
  <c r="V44" i="8"/>
  <c r="AA42" i="8"/>
  <c r="J5" i="8"/>
  <c r="F49" i="8"/>
  <c r="I39" i="8"/>
  <c r="J37" i="8"/>
  <c r="M35" i="8"/>
  <c r="X7" i="8"/>
  <c r="C7" i="8"/>
  <c r="AF48" i="8"/>
  <c r="P46" i="8"/>
  <c r="AA38" i="8"/>
  <c r="X43" i="8"/>
  <c r="M39" i="8"/>
  <c r="V40" i="8"/>
  <c r="D48" i="8"/>
  <c r="S10" i="8"/>
  <c r="N34" i="8"/>
  <c r="Q24" i="8"/>
  <c r="I4" i="9"/>
  <c r="H4" i="9"/>
  <c r="J21" i="8"/>
  <c r="X39" i="8"/>
  <c r="U16" i="8"/>
  <c r="W9" i="8"/>
  <c r="H39" i="8"/>
  <c r="AD31" i="8"/>
  <c r="E11" i="8"/>
  <c r="R25" i="8"/>
  <c r="AC5" i="8"/>
  <c r="G49" i="8"/>
  <c r="AC45" i="8"/>
  <c r="AB16" i="8"/>
  <c r="N22" i="8"/>
  <c r="J9" i="8"/>
  <c r="AD33" i="8"/>
  <c r="L26" i="8"/>
  <c r="W30" i="8"/>
  <c r="U38" i="8"/>
  <c r="S49" i="8"/>
  <c r="D38" i="8"/>
  <c r="M9" i="8"/>
  <c r="O15" i="8"/>
  <c r="AF7" i="8"/>
  <c r="Q15" i="8"/>
  <c r="C12" i="8"/>
  <c r="R22" i="8"/>
  <c r="P42" i="8"/>
  <c r="L14" i="8"/>
  <c r="E37" i="8"/>
  <c r="M4" i="8"/>
  <c r="AF50" i="8"/>
  <c r="O16" i="8"/>
  <c r="D35" i="8"/>
  <c r="P43" i="8"/>
  <c r="C11" i="8"/>
  <c r="M6" i="8"/>
  <c r="P15" i="8"/>
  <c r="I13" i="8"/>
  <c r="W4" i="8"/>
  <c r="O28" i="8"/>
  <c r="AB8" i="8"/>
  <c r="J19" i="8"/>
  <c r="T35" i="8"/>
  <c r="X10" i="8"/>
  <c r="R49" i="8"/>
  <c r="K24" i="8"/>
  <c r="S50" i="8"/>
  <c r="C16" i="8"/>
  <c r="R39" i="8"/>
  <c r="K25" i="8"/>
  <c r="Y37" i="8"/>
  <c r="C45" i="8"/>
  <c r="W12" i="8"/>
  <c r="J39" i="8"/>
  <c r="S11" i="8"/>
  <c r="W5" i="8"/>
  <c r="D17" i="8"/>
  <c r="R23" i="8"/>
  <c r="W8" i="8"/>
  <c r="Y8" i="8"/>
  <c r="V12" i="8"/>
  <c r="D34" i="8"/>
  <c r="AA39" i="8"/>
  <c r="Z21" i="8"/>
  <c r="AE20" i="8"/>
  <c r="P39" i="8"/>
  <c r="Z41" i="8"/>
  <c r="D12" i="8"/>
  <c r="F16" i="8"/>
  <c r="V15" i="8"/>
  <c r="H50" i="8"/>
  <c r="AA23" i="8"/>
  <c r="AE23" i="8"/>
  <c r="AB24" i="8"/>
  <c r="AA27" i="8"/>
  <c r="E16" i="8"/>
  <c r="Q4" i="8"/>
  <c r="AD44" i="8"/>
  <c r="E40" i="8"/>
  <c r="L44" i="8"/>
  <c r="Z48" i="8"/>
  <c r="P17" i="8"/>
  <c r="A39" i="8"/>
  <c r="P29" i="8"/>
  <c r="Y46" i="8"/>
  <c r="AA14" i="8"/>
  <c r="AB47" i="8"/>
  <c r="I37" i="8"/>
  <c r="Z30" i="8"/>
  <c r="M11" i="8"/>
  <c r="S43" i="8"/>
  <c r="P11" i="8"/>
  <c r="X24" i="8"/>
  <c r="C15" i="8"/>
  <c r="D13" i="8"/>
  <c r="AF21" i="8"/>
  <c r="N15" i="8"/>
  <c r="AD38" i="8"/>
  <c r="T14" i="8"/>
  <c r="Z32" i="8"/>
  <c r="G29" i="8"/>
  <c r="V48" i="8"/>
  <c r="X12" i="8"/>
  <c r="V24" i="8"/>
  <c r="R28" i="8"/>
  <c r="AE4" i="8"/>
  <c r="D11" i="8"/>
  <c r="O41" i="8"/>
  <c r="AB45" i="8"/>
  <c r="G12" i="8"/>
  <c r="P30" i="8"/>
  <c r="G9" i="8"/>
  <c r="S37" i="8"/>
  <c r="K39" i="8"/>
  <c r="AE31" i="8"/>
  <c r="L28" i="8"/>
  <c r="N29" i="8"/>
  <c r="B41" i="8"/>
  <c r="A29" i="8"/>
  <c r="Z20" i="8"/>
  <c r="AB49" i="8"/>
  <c r="V34" i="8"/>
  <c r="G40" i="8"/>
  <c r="L10" i="8"/>
  <c r="AF35" i="8"/>
  <c r="A41" i="8"/>
  <c r="O45" i="8"/>
  <c r="U9" i="8"/>
  <c r="U49" i="8"/>
  <c r="G24" i="8"/>
  <c r="A5" i="8"/>
  <c r="X36" i="8"/>
  <c r="U45" i="8"/>
  <c r="S32" i="8"/>
  <c r="AF19" i="8"/>
  <c r="F4" i="8"/>
  <c r="Z40" i="8"/>
  <c r="V20" i="8"/>
  <c r="E46" i="8"/>
  <c r="H5" i="8"/>
  <c r="N6" i="8"/>
  <c r="G41" i="8"/>
  <c r="R29" i="8"/>
  <c r="AB50" i="8"/>
  <c r="B35" i="8"/>
  <c r="D32" i="8"/>
  <c r="N35" i="8"/>
  <c r="A12" i="8"/>
  <c r="V23" i="8"/>
  <c r="H23" i="8"/>
  <c r="Z27" i="8"/>
  <c r="H36" i="8"/>
  <c r="G42" i="8"/>
  <c r="AF12" i="8"/>
  <c r="H41" i="8"/>
  <c r="E28" i="8"/>
  <c r="I27" i="8"/>
  <c r="V46" i="8"/>
  <c r="S42" i="8"/>
  <c r="AA29" i="8"/>
  <c r="F46" i="8"/>
  <c r="Q42" i="8"/>
  <c r="O7" i="8"/>
  <c r="AB40" i="8"/>
  <c r="C41" i="8"/>
  <c r="J10" i="8"/>
  <c r="F33" i="8"/>
  <c r="AB36" i="8"/>
  <c r="AF40" i="8"/>
  <c r="F48" i="8"/>
  <c r="AF41" i="8"/>
  <c r="F25" i="8"/>
  <c r="AA24" i="8"/>
  <c r="R24" i="8"/>
  <c r="D44" i="8"/>
  <c r="U34" i="8"/>
  <c r="AC26" i="8"/>
  <c r="Y7" i="8"/>
  <c r="Y36" i="8"/>
  <c r="Q21" i="8"/>
  <c r="J45" i="8"/>
  <c r="AD6" i="8"/>
  <c r="I47" i="8"/>
  <c r="Q16" i="8"/>
  <c r="Y11" i="8"/>
  <c r="I44" i="8"/>
  <c r="W37" i="8"/>
  <c r="J26" i="8"/>
  <c r="Q37" i="8"/>
  <c r="K13" i="8"/>
  <c r="V10" i="8"/>
  <c r="U40" i="8"/>
  <c r="M25" i="8"/>
  <c r="W20" i="8"/>
  <c r="L8" i="8"/>
  <c r="AE45" i="8"/>
  <c r="Y28" i="8"/>
  <c r="F21" i="8"/>
  <c r="A32" i="8"/>
  <c r="K47" i="8"/>
  <c r="AB43" i="8"/>
  <c r="B28" i="8"/>
  <c r="E17" i="8"/>
  <c r="AF8" i="8"/>
  <c r="X23" i="8"/>
  <c r="Z23" i="8"/>
  <c r="J41" i="8"/>
  <c r="N25" i="8"/>
  <c r="L33" i="8"/>
  <c r="R15" i="8"/>
  <c r="G34" i="8"/>
  <c r="I12" i="8"/>
  <c r="K44" i="8"/>
  <c r="X32" i="8"/>
  <c r="M42" i="8"/>
  <c r="G48" i="8"/>
  <c r="C24" i="8"/>
  <c r="D24" i="8"/>
  <c r="N33" i="8"/>
  <c r="S46" i="8"/>
  <c r="A45" i="8"/>
  <c r="P13" i="8"/>
  <c r="R13" i="8"/>
  <c r="E39" i="8"/>
  <c r="B20" i="8"/>
  <c r="AD42" i="8"/>
  <c r="M16" i="8"/>
  <c r="Z8" i="8"/>
  <c r="X16" i="8"/>
  <c r="X26" i="8"/>
  <c r="O18" i="8"/>
  <c r="H7" i="8"/>
  <c r="W7" i="8"/>
  <c r="I46" i="8"/>
  <c r="Z11" i="8"/>
  <c r="B46" i="8"/>
  <c r="Z22" i="8"/>
  <c r="AE21" i="8"/>
  <c r="N21" i="8"/>
  <c r="J18" i="8"/>
  <c r="Y19" i="8"/>
  <c r="L24" i="8"/>
  <c r="H17" i="8"/>
  <c r="O43" i="8"/>
  <c r="N8" i="8"/>
  <c r="B22" i="8"/>
  <c r="J4" i="8"/>
  <c r="S6" i="8"/>
  <c r="Y30" i="8"/>
  <c r="O34" i="8"/>
  <c r="N31" i="8"/>
  <c r="H6" i="8"/>
  <c r="E35" i="8"/>
  <c r="A20" i="8"/>
  <c r="Y10" i="8"/>
  <c r="R6" i="8"/>
  <c r="E8" i="8"/>
  <c r="U17" i="8"/>
  <c r="N50" i="8"/>
  <c r="E26" i="8"/>
  <c r="V37" i="8"/>
  <c r="E33" i="8"/>
  <c r="AF49" i="8"/>
  <c r="AF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IWR Procesnavigator</author>
  </authors>
  <commentList>
    <comment ref="A3" authorId="0" shapeId="0" xr:uid="{00000000-0006-0000-0600-000001000000}">
      <text>
        <r>
          <rPr>
            <sz val="11"/>
            <color theme="1"/>
            <rFont val="Calibri"/>
            <family val="2"/>
            <charset val="1"/>
          </rPr>
          <t>ProjectID
Kies uit dropdown (beheer in 'Projecten')</t>
        </r>
      </text>
    </comment>
    <comment ref="D3" authorId="0" shapeId="0" xr:uid="{00000000-0006-0000-0600-000002000000}">
      <text>
        <r>
          <rPr>
            <sz val="11"/>
            <color theme="1"/>
            <rFont val="Calibri"/>
            <family val="2"/>
            <charset val="1"/>
          </rPr>
          <t>Route
Netgedreven / Klantgedreven / Reconstructie</t>
        </r>
      </text>
    </comment>
    <comment ref="E3" authorId="0" shapeId="0" xr:uid="{00000000-0006-0000-0600-000003000000}">
      <text>
        <r>
          <rPr>
            <sz val="11"/>
            <color theme="1"/>
            <rFont val="Calibri"/>
            <family val="2"/>
            <charset val="1"/>
          </rPr>
          <t>Variant
OidK = via opdrachtgever
NOidK = zelfstandig</t>
        </r>
      </text>
    </comment>
    <comment ref="F3" authorId="0" shapeId="0" xr:uid="{00000000-0006-0000-0600-000004000000}">
      <text>
        <r>
          <rPr>
            <sz val="11"/>
            <color theme="1"/>
            <rFont val="Calibri"/>
            <family val="2"/>
            <charset val="1"/>
          </rPr>
          <t>Hoofdcategorie
A = Conditionerend
B = Bodem
C = Engineering Gate
H = Oplevering</t>
        </r>
      </text>
    </comment>
    <comment ref="G3" authorId="0" shapeId="0" xr:uid="{00000000-0006-0000-0600-000005000000}">
      <text>
        <r>
          <rPr>
            <sz val="11"/>
            <color theme="1"/>
            <rFont val="Calibri"/>
            <family val="2"/>
            <charset val="1"/>
          </rPr>
          <t>Subcategorie — cascade dropdown</t>
        </r>
      </text>
    </comment>
    <comment ref="H3" authorId="0" shapeId="0" xr:uid="{00000000-0006-0000-0600-000006000000}">
      <text>
        <r>
          <rPr>
            <sz val="11"/>
            <color theme="1"/>
            <rFont val="Calibri"/>
            <family val="2"/>
            <charset val="1"/>
          </rPr>
          <t>Type — cascade dropdown op Subcategorie</t>
        </r>
      </text>
    </comment>
    <comment ref="O3" authorId="0" shapeId="0" xr:uid="{00000000-0006-0000-0600-000007000000}">
      <text>
        <r>
          <rPr>
            <sz val="11"/>
            <color theme="1"/>
            <rFont val="Calibri"/>
            <family val="2"/>
            <charset val="1"/>
          </rPr>
          <t>Eigenaar
Netbeheerder / Aannemer / Engineer / Grondzaken Stedin</t>
        </r>
      </text>
    </comment>
    <comment ref="P3" authorId="0" shapeId="0" xr:uid="{00000000-0006-0000-0600-000008000000}">
      <text>
        <r>
          <rPr>
            <sz val="11"/>
            <color theme="1"/>
            <rFont val="Calibri"/>
            <family val="2"/>
            <charset val="1"/>
          </rPr>
          <t>Status
⚡ VBA stempelt Datum_Uitgezet automatisch bij 'Ingediend'/'Afgewezen'
⚡ VBA stempelt Datum_Ontvangen bij 'Afgerond'/'Goedgekeurd'</t>
        </r>
      </text>
    </comment>
    <comment ref="Q3" authorId="0" shapeId="0" xr:uid="{00000000-0006-0000-0600-000009000000}">
      <text>
        <r>
          <rPr>
            <sz val="11"/>
            <color theme="1"/>
            <rFont val="Calibri"/>
            <family val="2"/>
            <charset val="1"/>
          </rPr>
          <t>Datum_Uitgezet
Wanneer uitgezet — VBA vult automatisch</t>
        </r>
      </text>
    </comment>
    <comment ref="R3" authorId="0" shapeId="0" xr:uid="{00000000-0006-0000-0600-00000A000000}">
      <text>
        <r>
          <rPr>
            <sz val="11"/>
            <color theme="1"/>
            <rFont val="Calibri"/>
            <family val="2"/>
            <charset val="1"/>
          </rPr>
          <t>Datum_Ontvangen
Wanneer ontvangen/goedgekeurd — VBA vult automatisch</t>
        </r>
      </text>
    </comment>
    <comment ref="V3" authorId="0" shapeId="0" xr:uid="{00000000-0006-0000-0600-00000B000000}">
      <text>
        <r>
          <rPr>
            <sz val="11"/>
            <color theme="1"/>
            <rFont val="Calibri"/>
            <family val="2"/>
            <charset val="1"/>
          </rPr>
          <t>Geïmpliceerde GSU
Wanneer is GSU haalbaar als dit kritieke pad is?</t>
        </r>
      </text>
    </comment>
    <comment ref="X3" authorId="0" shapeId="0" xr:uid="{00000000-0006-0000-0600-00000C000000}">
      <text>
        <r>
          <rPr>
            <sz val="11"/>
            <color theme="1"/>
            <rFont val="Calibri"/>
            <family val="2"/>
            <charset val="1"/>
          </rPr>
          <t>Haalbaar GSU?
JA / NEE / KRAP / ONBEKEND</t>
        </r>
      </text>
    </comment>
    <comment ref="Y3" authorId="0" shapeId="0" xr:uid="{00000000-0006-0000-0600-00000D000000}">
      <text>
        <r>
          <rPr>
            <sz val="11"/>
            <color theme="1"/>
            <rFont val="Calibri"/>
            <family val="2"/>
            <charset val="1"/>
          </rPr>
          <t>Actiepunt — vrij tekstveld</t>
        </r>
      </text>
    </comment>
    <comment ref="AB3" authorId="0" shapeId="0" xr:uid="{00000000-0006-0000-0600-00000E000000}">
      <text>
        <r>
          <rPr>
            <sz val="11"/>
            <color theme="1"/>
            <rFont val="Calibri"/>
            <family val="2"/>
            <charset val="1"/>
          </rPr>
          <t>Stoplicht
WAAR = kritieke pad / ONWAAR = geen probleem</t>
        </r>
      </text>
    </comment>
  </commentList>
</comments>
</file>

<file path=xl/sharedStrings.xml><?xml version="1.0" encoding="utf-8"?>
<sst xmlns="http://schemas.openxmlformats.org/spreadsheetml/2006/main" count="2332" uniqueCount="715">
  <si>
    <t>IWR PROCESNAVIGATOR  v10  —  Infrawerk Rijnmond  |  SoRSoZ · Stedin / Evides</t>
  </si>
  <si>
    <t>Procestool voor Engineering-voorbereiding — gebaseerd op IWR-contract v2.1 + Trinitas doorlooptijden</t>
  </si>
  <si>
    <t xml:space="preserve">  STAP 1</t>
  </si>
  <si>
    <t>📋  Project aanmaken</t>
  </si>
  <si>
    <t>Ga naar het blad  Projecten
→ Voeg een nieuwe rij toe: ProjectID, Naam, Stad, Route, Variant, GSU-datum, Engineer
→ Alle andere bladen vullen zich automatisch</t>
  </si>
  <si>
    <t xml:space="preserve">  STAP 2</t>
  </si>
  <si>
    <t>✏️  Onderzoeken invullen in Dashboard</t>
  </si>
  <si>
    <t>Ga naar het blad  Dashboard_Engineer
→ Vul per rij: ProjectID → Hoofdcategorie → Subcategorie → Type → Eigenaar → Status
→ Cascade dropdowns begeleiden je door de keuzes
→ Model berekent automatisch Norm, Buffer, Vereiste_Gereed, GSU-prognose</t>
  </si>
  <si>
    <t xml:space="preserve">  STAP 3</t>
  </si>
  <si>
    <t>📊  Status bewaken</t>
  </si>
  <si>
    <t>In Dashboard_Engineer:
→ Wijzig Status naar 'Ingediend' → datum stempelt automatisch (VBA)
→ Stoplicht kleurt rood/oranje/groen op basis van haalbaarheid
→ Filter per project via AutoFilter pijltjes</t>
  </si>
  <si>
    <t xml:space="preserve">  STAP 4</t>
  </si>
  <si>
    <t>🗓️  GSU-prognose + Vertragingen loggen</t>
  </si>
  <si>
    <t>Projectoverzicht: zie per project GSU-verwacht vs origineel, delta in werkdagen
→ Rood = slip &gt;5 weken / Oranje = krap / Groen = binnen planning
Vertragingen_Showstoppers: log vertragingen met oorzaakcode
→ Transparantie richting opdrachtgever</t>
  </si>
  <si>
    <t>💡 TIP  —  GSU-datum van een project wijzigen? Doe dit in Projecten (blad 2). Alle berekeningen schuiven automatisch mee.</t>
  </si>
  <si>
    <t>BLADOVERZICHT</t>
  </si>
  <si>
    <t>Start_Hier</t>
  </si>
  <si>
    <t>Dit blad — stappenplan + overzicht</t>
  </si>
  <si>
    <t>Projecten</t>
  </si>
  <si>
    <t>Dashboard_Engineer</t>
  </si>
  <si>
    <t>Werkblad per onderzoek — vul hier status, datums, eigenaar</t>
  </si>
  <si>
    <t>Projectoverzicht</t>
  </si>
  <si>
    <t>GSU-prognose per project — verwacht vs origineel</t>
  </si>
  <si>
    <t>Sleuteldata</t>
  </si>
  <si>
    <t>13 kritieke mijlpaal-datums per project</t>
  </si>
  <si>
    <t>Vertragingen_Showstoppers</t>
  </si>
  <si>
    <t>Log hier vertragingen en blockers</t>
  </si>
  <si>
    <t>Normtijden_Config</t>
  </si>
  <si>
    <t>Normtijden-bibliotheek (niet bewerken)</t>
  </si>
  <si>
    <t>Route_Variant_Offsets</t>
  </si>
  <si>
    <t>Contract-offsets per route/variant (niet bewerken)</t>
  </si>
  <si>
    <t>Help</t>
  </si>
  <si>
    <t>Uitleg termen + herleiding buffers</t>
  </si>
  <si>
    <t>STATUS</t>
  </si>
  <si>
    <t>ROUTES</t>
  </si>
  <si>
    <t>VARIANTEN</t>
  </si>
  <si>
    <t>HOOFDCATEGORIE</t>
  </si>
  <si>
    <t>OORZAKEN</t>
  </si>
  <si>
    <t>EIGENAREN</t>
  </si>
  <si>
    <t>FASEN</t>
  </si>
  <si>
    <t>Nodig</t>
  </si>
  <si>
    <t>Klantgedreven</t>
  </si>
  <si>
    <t>NOidK</t>
  </si>
  <si>
    <t>A-Conditionerend</t>
  </si>
  <si>
    <t>Te laat uitgezet door engineer</t>
  </si>
  <si>
    <t>Engineer</t>
  </si>
  <si>
    <t>Initiatiefase</t>
  </si>
  <si>
    <t>Ingediend</t>
  </si>
  <si>
    <t>Netgedreven</t>
  </si>
  <si>
    <t>OidK</t>
  </si>
  <si>
    <t>B-Bodem</t>
  </si>
  <si>
    <t>Te laat ontvangen door engineer</t>
  </si>
  <si>
    <t>Engineer Evides</t>
  </si>
  <si>
    <t>Engineeringsfase</t>
  </si>
  <si>
    <t>Afgerond</t>
  </si>
  <si>
    <t>Reconstructies</t>
  </si>
  <si>
    <t>C-Proefgaten</t>
  </si>
  <si>
    <t>Te laat aangeleverd door derde</t>
  </si>
  <si>
    <t>Engineer Stedin</t>
  </si>
  <si>
    <t>Werkvoorbereiding</t>
  </si>
  <si>
    <t>Goedgekeurd</t>
  </si>
  <si>
    <t>D-Boring</t>
  </si>
  <si>
    <t>Normdoorlooptijd overschreden</t>
  </si>
  <si>
    <t>Combi Coördinator</t>
  </si>
  <si>
    <t>Uitvoering</t>
  </si>
  <si>
    <t>Afgewezen</t>
  </si>
  <si>
    <t>E-Vergunning</t>
  </si>
  <si>
    <t>Aanvullende informatie nodig</t>
  </si>
  <si>
    <t>Netbeheerder</t>
  </si>
  <si>
    <t>Oplevering</t>
  </si>
  <si>
    <t>N.v.t</t>
  </si>
  <si>
    <t>F-Verkeer/BLVC</t>
  </si>
  <si>
    <t>Afkeur / herstel</t>
  </si>
  <si>
    <t>Aannemer</t>
  </si>
  <si>
    <t>G-Schouw</t>
  </si>
  <si>
    <t>Vergunningstraject langer dan norm</t>
  </si>
  <si>
    <t>Onderaannemer onderzoek</t>
  </si>
  <si>
    <t>H-Gate</t>
  </si>
  <si>
    <t>RWS-afkeur vergunning (+8 wk)</t>
  </si>
  <si>
    <t>Grondzaken Stedin</t>
  </si>
  <si>
    <t>Onderzoek nog niet gestart</t>
  </si>
  <si>
    <t>Vergunningendesk Evides</t>
  </si>
  <si>
    <t>Interne blokkade</t>
  </si>
  <si>
    <t>Klant (Gemeente)</t>
  </si>
  <si>
    <t>Externe blokkade</t>
  </si>
  <si>
    <t>Proefgaten nog niet ingepland</t>
  </si>
  <si>
    <t>Bodemrapport nog niet beschikbaar</t>
  </si>
  <si>
    <t>Verkeersplan/BLVC nog niet gereed</t>
  </si>
  <si>
    <t>Schouw nog niet gepland</t>
  </si>
  <si>
    <t>Schouwverslag nog niet ontvangen</t>
  </si>
  <si>
    <t>Schouw niet verwerkt in plantekening</t>
  </si>
  <si>
    <t>Natura 2000 / Wnb bezwaarperiode loopt</t>
  </si>
  <si>
    <t>NORMTIJDEN_CONFIG  —  Trinitas leidend voor onderzoek/boring, IWR-contract leidend voor buffer-naar-GSU</t>
  </si>
  <si>
    <t>ItemID</t>
  </si>
  <si>
    <t>Hoofdcategorie</t>
  </si>
  <si>
    <t>Subcategorie</t>
  </si>
  <si>
    <t>Type</t>
  </si>
  <si>
    <t>Route</t>
  </si>
  <si>
    <t>Variant</t>
  </si>
  <si>
    <t>Norm_Doorlooptijd_Wd</t>
  </si>
  <si>
    <t>Gate_Ref</t>
  </si>
  <si>
    <t>Buffer_Wd_Override</t>
  </si>
  <si>
    <t>GSU_Kritisch</t>
  </si>
  <si>
    <t>Gate_Kritisch</t>
  </si>
  <si>
    <t>Default_Eigenaar</t>
  </si>
  <si>
    <t>Default_Fase</t>
  </si>
  <si>
    <t>Procescode_IWR</t>
  </si>
  <si>
    <t>Bron_Ref</t>
  </si>
  <si>
    <t>Norm_Afwijking_Opmerking</t>
  </si>
  <si>
    <t>Actief</t>
  </si>
  <si>
    <t>Hcat_Code</t>
  </si>
  <si>
    <t>Sub_Code</t>
  </si>
  <si>
    <t>A-QS-GEO</t>
  </si>
  <si>
    <t>Quickscan</t>
  </si>
  <si>
    <t>Quickscan bodem en tracé</t>
  </si>
  <si>
    <t>*</t>
  </si>
  <si>
    <t>VO_Einde</t>
  </si>
  <si>
    <t>2.NO.1.1</t>
  </si>
  <si>
    <t>IWR Conditionerend onderzoek — norm 2 wk</t>
  </si>
  <si>
    <t>A-VO-HIST</t>
  </si>
  <si>
    <t>Vervolgonderzoek</t>
  </si>
  <si>
    <t>Historisch bodemonderzoek</t>
  </si>
  <si>
    <t>IWR Conditionerend onderzoek — norm 4 wk</t>
  </si>
  <si>
    <t>Vervolg</t>
  </si>
  <si>
    <t>A-VO-OONGE</t>
  </si>
  <si>
    <t>Conventioneel Explosieven Onderzoek (OO/NGE)</t>
  </si>
  <si>
    <t>IWR Conditionerend onderzoek — norm 6 wk</t>
  </si>
  <si>
    <t>A-VO-ARCB</t>
  </si>
  <si>
    <t>Bureaustudie archeologie</t>
  </si>
  <si>
    <t>IWR Conditionerend onderzoek — norm 5 wk</t>
  </si>
  <si>
    <t>A-AV-ARCV</t>
  </si>
  <si>
    <t>Aanvullend</t>
  </si>
  <si>
    <t>Veldonderzoek archeologie</t>
  </si>
  <si>
    <t>Na bureaustudie</t>
  </si>
  <si>
    <t>A-VO-N2T</t>
  </si>
  <si>
    <t>Natura 2000 oriëntatie / voortoets</t>
  </si>
  <si>
    <t>IWR Conditionerend onderzoek — norm 1 wk</t>
  </si>
  <si>
    <t>A-AV-N2S</t>
  </si>
  <si>
    <t>Natura 2000 — stikstofberekening</t>
  </si>
  <si>
    <t>A-AV-N2V</t>
  </si>
  <si>
    <t>Natura 2000 — vergunningprocedure en bezwaarperiode</t>
  </si>
  <si>
    <t>IWR Conditionerend onderzoek — norm 24 wk</t>
  </si>
  <si>
    <t>KRITIEK: 24 wk — kan GSU fataal blokkeren</t>
  </si>
  <si>
    <t>A-VO-ECOB</t>
  </si>
  <si>
    <t>Bureaustudie ecologie</t>
  </si>
  <si>
    <t>A-AV-WNB</t>
  </si>
  <si>
    <t>Wet Natuurbescherming — vergunningprocedure en bezwaar</t>
  </si>
  <si>
    <t>IWR Conditionerend onderzoek — norm 28 wk</t>
  </si>
  <si>
    <t>KRITIEK: 28 wk — kan GSU fataal blokkeren</t>
  </si>
  <si>
    <t>A-VO-BZB</t>
  </si>
  <si>
    <t>Beïnvloedingsberekening / zettingsberekening</t>
  </si>
  <si>
    <t>A-VO-BEM</t>
  </si>
  <si>
    <t>Bemalingsadvies</t>
  </si>
  <si>
    <t>IWR Conditionerend onderzoek — norm 8 wk</t>
  </si>
  <si>
    <t>A-VO-CUL</t>
  </si>
  <si>
    <t>Cultuurtechnisch onderzoek</t>
  </si>
  <si>
    <t>IWR Conditionerend onderzoek — norm 13 wk</t>
  </si>
  <si>
    <t>B-BOD-KG-N</t>
  </si>
  <si>
    <t>Algemeen</t>
  </si>
  <si>
    <t>Bodemonderzoek CROW 400 — KG-NOidK (10wd)</t>
  </si>
  <si>
    <t>IWR-contract v2.1 KG (10 wd)</t>
  </si>
  <si>
    <t>B</t>
  </si>
  <si>
    <t>B-BOD-NG-N</t>
  </si>
  <si>
    <t>Bodemonderzoek CROW 400 — NG-NOidK (20wd)</t>
  </si>
  <si>
    <t>IWR-contract v2.1 NG-NOidK (20 wd)</t>
  </si>
  <si>
    <t>B-BOD-NG-O</t>
  </si>
  <si>
    <t>Bodemonderzoek CROW 400 — NG-OidK 2.O.8 (20wd)</t>
  </si>
  <si>
    <t>Warme_Overdracht</t>
  </si>
  <si>
    <t>2.O.8</t>
  </si>
  <si>
    <t>IWR-contract v2.1 NG-OidK (20 wd)</t>
  </si>
  <si>
    <t>B-BOD-RC-N</t>
  </si>
  <si>
    <t>Bodemonderzoek CROW 400 — RC-NOidK (10wd)</t>
  </si>
  <si>
    <t>IWR-contract v2.1 RC-NOidK (10 wd)</t>
  </si>
  <si>
    <t>B-BOD-RC-O</t>
  </si>
  <si>
    <t>Bodemonderzoek CROW 400 — RC-OidK 2.O.8 (10wd)</t>
  </si>
  <si>
    <t>IWR-contract v2.1 RC-OidK (10 wd)</t>
  </si>
  <si>
    <t>C-PG-1-15</t>
  </si>
  <si>
    <t>Proefgaten (1–15 stuks)</t>
  </si>
  <si>
    <t>Proefsleuven_Einde</t>
  </si>
  <si>
    <t>2.NO.4</t>
  </si>
  <si>
    <t>IWR Procesregister — norm 2 wk</t>
  </si>
  <si>
    <t>C-PG-16-30</t>
  </si>
  <si>
    <t>Proefgaten (16–30 stuks)</t>
  </si>
  <si>
    <t>IWR Procesregister — norm 3 wk</t>
  </si>
  <si>
    <t>C-PG-AN</t>
  </si>
  <si>
    <t>Proefgaten op A/N-wegen (vergunningplichtig)</t>
  </si>
  <si>
    <t>IWR Procesregister — norm 4 wk</t>
  </si>
  <si>
    <t>C-PS-KG-N</t>
  </si>
  <si>
    <t>Fase_gate</t>
  </si>
  <si>
    <t>Proefsleuven en bijzondere activiteiten — KG (10 wd)</t>
  </si>
  <si>
    <t>IWR-contract v2.1 — 2.NO.4 KG</t>
  </si>
  <si>
    <t>IWR_gate</t>
  </si>
  <si>
    <t>C-PS-NG-N</t>
  </si>
  <si>
    <t>Proefsleuven en bijzondere activiteiten — NG (50 wd)</t>
  </si>
  <si>
    <t>IWR-contract v2.1 — 2.NO.4 NG</t>
  </si>
  <si>
    <t>C-PS-RC-N</t>
  </si>
  <si>
    <t>Proefsleuven en bijzondere activiteiten — RC (20 wd)</t>
  </si>
  <si>
    <t>IWR-contract v2.1 — 2.NO.4 RC</t>
  </si>
  <si>
    <t>C-TRC-NG-O</t>
  </si>
  <si>
    <t>Fase_gate_OidK</t>
  </si>
  <si>
    <t>Onderzoeken tracé OidK — NG (75 wd, incl. schouw, CROW500, proefsleuven)</t>
  </si>
  <si>
    <t>2.O.9</t>
  </si>
  <si>
    <t>IWR-contract v2.1 — 2.O.9 NG</t>
  </si>
  <si>
    <t>Omvat schouw+CROW500+proefsleuven</t>
  </si>
  <si>
    <t>IWR_gate_OidK</t>
  </si>
  <si>
    <t>C-TRC-RC-O</t>
  </si>
  <si>
    <t>Onderzoeken tracé OidK — RC (35 wd, incl. schouw, CROW500, proefsleuven)</t>
  </si>
  <si>
    <t>IWR-contract v2.1 — 2.O.9 RC</t>
  </si>
  <si>
    <t>D-B-HAAL</t>
  </si>
  <si>
    <t>Haalbaarheid</t>
  </si>
  <si>
    <t>Haalbaarheidsonderzoek gestuurde boring</t>
  </si>
  <si>
    <t>IWR Normtijden boring — 2 wk</t>
  </si>
  <si>
    <t>Niet verplicht</t>
  </si>
  <si>
    <t>D-B-PLAN</t>
  </si>
  <si>
    <t>Plan</t>
  </si>
  <si>
    <t>Boorplan</t>
  </si>
  <si>
    <t>IWR Normtijden boring — 4 wk</t>
  </si>
  <si>
    <t>D-B-ENG</t>
  </si>
  <si>
    <t>Engineering</t>
  </si>
  <si>
    <t>Engineering gestuurde boring (incl. berekeningen)</t>
  </si>
  <si>
    <t>IWR Normtijden boring — 8 wk</t>
  </si>
  <si>
    <t>D-B-SOND</t>
  </si>
  <si>
    <t>Sondering</t>
  </si>
  <si>
    <t>D-B-VG-GEM</t>
  </si>
  <si>
    <t>Vergunning</t>
  </si>
  <si>
    <t>Vergunning gestuurde boring — gemeente</t>
  </si>
  <si>
    <t>Vergunning_Einde</t>
  </si>
  <si>
    <t>3.1.2</t>
  </si>
  <si>
    <t>D-B-VG-RWS</t>
  </si>
  <si>
    <t>Vergunning gestuurde boring — provincie / waterschap / RWS</t>
  </si>
  <si>
    <t>IWR Normtijden boring — 8–16 wk (RWS: herindieningsrisico)</t>
  </si>
  <si>
    <t>RWS-afkeur scenario: +8 wk</t>
  </si>
  <si>
    <t>E-VG-ZRO</t>
  </si>
  <si>
    <t>Zakelijk recht, ligvergunning, asset- en omgevingsvergunning (3.1.2)</t>
  </si>
  <si>
    <t>IWR-contract v2.1 — 3.1.2 (40 wd)</t>
  </si>
  <si>
    <t>Doorlooptijden-PDF fase-header '50 wd' = bruto; substap 3.1.2 = 40 wd</t>
  </si>
  <si>
    <t>F-VK-BUKO</t>
  </si>
  <si>
    <t>BLVC / verkeersplan</t>
  </si>
  <si>
    <t>WVB_Uitv_Start</t>
  </si>
  <si>
    <t>3.3</t>
  </si>
  <si>
    <t>IWR Normtijden — 2 wk</t>
  </si>
  <si>
    <t>G-SCH-PL</t>
  </si>
  <si>
    <t>Plannen</t>
  </si>
  <si>
    <t>Schouw plannen en inplannen</t>
  </si>
  <si>
    <t>2.NO.1</t>
  </si>
  <si>
    <t>IWR Procesregister — schouw</t>
  </si>
  <si>
    <t>Geen normtijd — status-bewaking</t>
  </si>
  <si>
    <t>G-SCH-VS</t>
  </si>
  <si>
    <t>Verslag</t>
  </si>
  <si>
    <t>Schouwverslag opstellen</t>
  </si>
  <si>
    <t>Geen normtijd</t>
  </si>
  <si>
    <t>G-SCH-DT</t>
  </si>
  <si>
    <t>Datum</t>
  </si>
  <si>
    <t>Schouwdatum</t>
  </si>
  <si>
    <t>G-SCH-AP</t>
  </si>
  <si>
    <t>Verwerkt</t>
  </si>
  <si>
    <t>Schouw verwerkt in ontwerptekening</t>
  </si>
  <si>
    <t>IWR Procesregister — gate vóór VO</t>
  </si>
  <si>
    <t>Gate-kritisch: moet voor VO-goedkeuring verwerkt</t>
  </si>
  <si>
    <t>H-G-VO</t>
  </si>
  <si>
    <t>VO</t>
  </si>
  <si>
    <t>VO goedgekeurd</t>
  </si>
  <si>
    <t>2.NO.5/2.O.11</t>
  </si>
  <si>
    <t>IWR-contract v2.1 (einde VO -18 wk)</t>
  </si>
  <si>
    <t>H</t>
  </si>
  <si>
    <t>H-G-DO</t>
  </si>
  <si>
    <t>DO</t>
  </si>
  <si>
    <t>DO getekend beide NB</t>
  </si>
  <si>
    <t>DO_Einde</t>
  </si>
  <si>
    <t>2.NO.7/2.O.13</t>
  </si>
  <si>
    <t>IWR-contract v2.1 (einde DO -15 wk)</t>
  </si>
  <si>
    <t>BEIDE NB verplicht</t>
  </si>
  <si>
    <t>H-G-DOD-KG</t>
  </si>
  <si>
    <t>DO_dossier</t>
  </si>
  <si>
    <t>DO-dossier goedgekeurd — KG (5wd)</t>
  </si>
  <si>
    <t>DO_Dossier_Einde</t>
  </si>
  <si>
    <t>2.NO.9</t>
  </si>
  <si>
    <t>IWR-contract v2.1 KG (5 wd)</t>
  </si>
  <si>
    <t>H-G-DOD-NR</t>
  </si>
  <si>
    <t>DO-dossier goedgekeurd — NG (15wd)</t>
  </si>
  <si>
    <t>2.NO.9/2.O.15</t>
  </si>
  <si>
    <t>IWR-contract v2.1 NG/RC (15 wd)</t>
  </si>
  <si>
    <t>H-G-DOD-RC</t>
  </si>
  <si>
    <t>DO-dossier goedgekeurd — RC (15wd)</t>
  </si>
  <si>
    <t>H-G-BEG</t>
  </si>
  <si>
    <t>Begroting</t>
  </si>
  <si>
    <t>Begroting geclassificeerd</t>
  </si>
  <si>
    <t>Begroting_Einde</t>
  </si>
  <si>
    <t>3.2.2</t>
  </si>
  <si>
    <t>IWR-contract v2.1 (einde -7 wk)</t>
  </si>
  <si>
    <t>H-G-MAT</t>
  </si>
  <si>
    <t>Materiaal</t>
  </si>
  <si>
    <t>TBG-materialen besteld</t>
  </si>
  <si>
    <t>Materiaal_Einde</t>
  </si>
  <si>
    <t>3.3.1</t>
  </si>
  <si>
    <t>IWR-contract v2.1 (-7 wk)</t>
  </si>
  <si>
    <t>H-G-KO</t>
  </si>
  <si>
    <t>Kick_off</t>
  </si>
  <si>
    <t>Werkmap + kick-off getekend</t>
  </si>
  <si>
    <t>Kickoff_Einde</t>
  </si>
  <si>
    <t>3.9</t>
  </si>
  <si>
    <t>IWR-contract v2.1 (-5 wk)</t>
  </si>
  <si>
    <t>H-G-SB</t>
  </si>
  <si>
    <t>Startwerk</t>
  </si>
  <si>
    <t>Startwerkbespreking</t>
  </si>
  <si>
    <t>Startwerk_Einde</t>
  </si>
  <si>
    <t>4.3</t>
  </si>
  <si>
    <t>IWR-contract v2.1 (-1 wk)</t>
  </si>
  <si>
    <t>H-G-WO-NG</t>
  </si>
  <si>
    <t>Warme_overdracht</t>
  </si>
  <si>
    <t>Warme overdracht engineering (OidK) — Netgedreven</t>
  </si>
  <si>
    <t>2.O.3</t>
  </si>
  <si>
    <t>IWR-contract v2.1 — 2.O.3 NG (-37 wk)</t>
  </si>
  <si>
    <t>Warme_ovd</t>
  </si>
  <si>
    <t>H-G-WO-RC</t>
  </si>
  <si>
    <t>Warme overdracht engineering (OidK) — Reconstructies</t>
  </si>
  <si>
    <t>IWR-contract v2.1 — 2.O.3 RC (-29 wk)</t>
  </si>
  <si>
    <t>H-G-TOE-E</t>
  </si>
  <si>
    <t>Toetsmoment</t>
  </si>
  <si>
    <t>Toetsmoment netbeheerder Evides</t>
  </si>
  <si>
    <t>3.8</t>
  </si>
  <si>
    <t>IWR Procesregister — werkvoorbereiding</t>
  </si>
  <si>
    <t>H-G-TOE-S</t>
  </si>
  <si>
    <t>Toetsmoment netbeheerder Stedin</t>
  </si>
  <si>
    <t>H-G-MBB</t>
  </si>
  <si>
    <t>MBB</t>
  </si>
  <si>
    <t>MBB opstellen</t>
  </si>
  <si>
    <t>-</t>
  </si>
  <si>
    <t>IWR Procesregister — 6 wk voor uitvoerdatum</t>
  </si>
  <si>
    <t>Lookup_Key</t>
  </si>
  <si>
    <t>Subs_A</t>
  </si>
  <si>
    <t>Subs_B</t>
  </si>
  <si>
    <t>Subs_C</t>
  </si>
  <si>
    <t>Subs_D</t>
  </si>
  <si>
    <t>Subs_E</t>
  </si>
  <si>
    <t>Subs_F</t>
  </si>
  <si>
    <t>Subs_G</t>
  </si>
  <si>
    <t>Subs_H</t>
  </si>
  <si>
    <t>Types_A_Aanvullend</t>
  </si>
  <si>
    <t>Types_A_Quickscan</t>
  </si>
  <si>
    <t>Types_A_Vervolgonderzoek</t>
  </si>
  <si>
    <t>Types_B_Algemeen</t>
  </si>
  <si>
    <t>Types_C_Algemeen</t>
  </si>
  <si>
    <t>Types_C_Fase_gate</t>
  </si>
  <si>
    <t>Types_C_Fase_gate_OidK</t>
  </si>
  <si>
    <t>Types_D_Engineering</t>
  </si>
  <si>
    <t>Types_D_Haalbaarheid</t>
  </si>
  <si>
    <t>Types_D_Plan</t>
  </si>
  <si>
    <t>Types_D_Sondering</t>
  </si>
  <si>
    <t>Types_D_Vergunning</t>
  </si>
  <si>
    <t>Types_E_Algemeen</t>
  </si>
  <si>
    <t>Types_F_Algemeen</t>
  </si>
  <si>
    <t>Types_G_Datum</t>
  </si>
  <si>
    <t>Types_G_Plannen</t>
  </si>
  <si>
    <t>Types_G_Verslag</t>
  </si>
  <si>
    <t>Types_G_Verwerkt</t>
  </si>
  <si>
    <t>Types_H_Begroting</t>
  </si>
  <si>
    <t>Types_H_DO</t>
  </si>
  <si>
    <t>Types_H_DO_dossier</t>
  </si>
  <si>
    <t>Types_H_Kick_off</t>
  </si>
  <si>
    <t>Types_H_MBB</t>
  </si>
  <si>
    <t>Types_H_Materiaal</t>
  </si>
  <si>
    <t>Types_H_Startwerk</t>
  </si>
  <si>
    <t>Types_H_Toetsmoment</t>
  </si>
  <si>
    <t>Types_H_VO</t>
  </si>
  <si>
    <t>Types_H_Warme_overdracht</t>
  </si>
  <si>
    <t>A</t>
  </si>
  <si>
    <t>A|Aanvullend|Natura 2000 — stikstofberekening</t>
  </si>
  <si>
    <t>A|Aanvullend|Natura 2000 — vergunningprocedure en bezwaarperiode</t>
  </si>
  <si>
    <t>A|Aanvullend|Veldonderzoek archeologie</t>
  </si>
  <si>
    <t>A|Aanvullend|Wet Natuurbescherming — vergunningprocedure en bezwaar</t>
  </si>
  <si>
    <t>A|Quickscan|Quickscan bodem en tracé</t>
  </si>
  <si>
    <t>A|Vervolgonderzoek|Bemalingsadvies</t>
  </si>
  <si>
    <t>A|Vervolgonderzoek|Beïnvloedingsberekening / zettingsberekening</t>
  </si>
  <si>
    <t>A|Vervolgonderzoek|Bureaustudie archeologie</t>
  </si>
  <si>
    <t>A|Vervolgonderzoek|Bureaustudie ecologie</t>
  </si>
  <si>
    <t>A|Vervolgonderzoek|Conventioneel Explosieven Onderzoek (OO/NGE)</t>
  </si>
  <si>
    <t>A|Vervolgonderzoek|Cultuurtechnisch onderzoek</t>
  </si>
  <si>
    <t>A|Vervolgonderzoek|Historisch bodemonderzoek</t>
  </si>
  <si>
    <t>A|Vervolgonderzoek|Natura 2000 oriëntatie / voortoets</t>
  </si>
  <si>
    <t>B|Algemeen|Bodemonderzoek CROW 400 — KG-NOidK (10wd)</t>
  </si>
  <si>
    <t>B|Algemeen|Bodemonderzoek CROW 400 — NG-NOidK (20wd)</t>
  </si>
  <si>
    <t>B|Algemeen|Bodemonderzoek CROW 400 — NG-OidK 2.O.8 (20wd)</t>
  </si>
  <si>
    <t>B|Algemeen|Bodemonderzoek CROW 400 — RC-NOidK (10wd)</t>
  </si>
  <si>
    <t>B|Algemeen|Bodemonderzoek CROW 400 — RC-OidK 2.O.8 (10wd)</t>
  </si>
  <si>
    <t>C</t>
  </si>
  <si>
    <t>C|Algemeen|Proefgaten (16–30 stuks)</t>
  </si>
  <si>
    <t>C|Algemeen|Proefgaten (1–15 stuks)</t>
  </si>
  <si>
    <t>C|Algemeen|Proefgaten op A/N-wegen (vergunningplichtig)</t>
  </si>
  <si>
    <t>C|Fase_gate|Proefsleuven en bijzondere activiteiten — KG (10 wd)</t>
  </si>
  <si>
    <t>C|Fase_gate|Proefsleuven en bijzondere activiteiten — NG (50 wd)</t>
  </si>
  <si>
    <t>C|Fase_gate|Proefsleuven en bijzondere activiteiten — RC (20 wd)</t>
  </si>
  <si>
    <t>C|Fase_gate_OidK|Onderzoeken tracé OidK — NG (75 wd, incl. schouw, CROW500, proefsleuven)</t>
  </si>
  <si>
    <t>C|Fase_gate_OidK|Onderzoeken tracé OidK — RC (35 wd, incl. schouw, CROW500, proefsleuven)</t>
  </si>
  <si>
    <t>D</t>
  </si>
  <si>
    <t>D|Engineering|Engineering gestuurde boring (incl. berekeningen)</t>
  </si>
  <si>
    <t>D|Haalbaarheid|Haalbaarheidsonderzoek gestuurde boring</t>
  </si>
  <si>
    <t>D|Plan|Boorplan</t>
  </si>
  <si>
    <t>D|Sondering|Sondering</t>
  </si>
  <si>
    <t>D|Vergunning|Vergunning gestuurde boring — gemeente</t>
  </si>
  <si>
    <t>D|Vergunning|Vergunning gestuurde boring — provincie / waterschap / RWS</t>
  </si>
  <si>
    <t>E</t>
  </si>
  <si>
    <t>E|Algemeen|Zakelijk recht, ligvergunning, asset- en omgevingsvergunning (3.1.2)</t>
  </si>
  <si>
    <t>F</t>
  </si>
  <si>
    <t>F|Algemeen|BLVC / verkeersplan</t>
  </si>
  <si>
    <t>G</t>
  </si>
  <si>
    <t>G|Datum|Schouwdatum</t>
  </si>
  <si>
    <t>G|Plannen|Schouw plannen en inplannen</t>
  </si>
  <si>
    <t>G|Verslag|Schouwverslag opstellen</t>
  </si>
  <si>
    <t>G|Verwerkt|Schouw verwerkt in ontwerptekening</t>
  </si>
  <si>
    <t>H|Begroting|Begroting geclassificeerd</t>
  </si>
  <si>
    <t>H|DO|DO getekend beide NB</t>
  </si>
  <si>
    <t>H|DO_dossier|DO-dossier goedgekeurd — KG (5wd)</t>
  </si>
  <si>
    <t>H|DO_dossier|DO-dossier goedgekeurd — NG (15wd)</t>
  </si>
  <si>
    <t>H|DO_dossier|DO-dossier goedgekeurd — RC (15wd)</t>
  </si>
  <si>
    <t>H|Kick_off|Werkmap + kick-off getekend</t>
  </si>
  <si>
    <t>H|MBB|MBB opstellen</t>
  </si>
  <si>
    <t>H|Materiaal|TBG-materialen besteld</t>
  </si>
  <si>
    <t>H|Startwerk|Startwerkbespreking</t>
  </si>
  <si>
    <t>H|Toetsmoment|Toetsmoment netbeheerder Evides</t>
  </si>
  <si>
    <t>H|Toetsmoment|Toetsmoment netbeheerder Stedin</t>
  </si>
  <si>
    <t>H|VO|VO goedgekeurd</t>
  </si>
  <si>
    <t>H|Warme_overdracht|Warme overdracht engineering (OidK) — Netgedreven</t>
  </si>
  <si>
    <t>H|Warme_overdracht|Warme overdracht engineering (OidK) — Reconstructies</t>
  </si>
  <si>
    <t>ROUTE_VARIANT_OFFSETS  —  Gate-einddatums in werkdagen vóór GSU, per route × variant  (bron: IWR-contract v2.1)</t>
  </si>
  <si>
    <t>Weken_Voor_GSU</t>
  </si>
  <si>
    <t>Werkdagen_Voor_GSU</t>
  </si>
  <si>
    <t>Key</t>
  </si>
  <si>
    <t>Init_Einde</t>
  </si>
  <si>
    <t>IWR v2.1 KG (FO-einde -24 wk)</t>
  </si>
  <si>
    <t>IWR v2.1 NG (FO-einde -41 wk)</t>
  </si>
  <si>
    <t>IWR v2.1 RC (FO-einde -33 wk)</t>
  </si>
  <si>
    <t>n.v.t. (alleen OidK)</t>
  </si>
  <si>
    <t>KG heeft geen OidK volgens contract</t>
  </si>
  <si>
    <t>IWR v2.1 NG-OidK (2.O.3 eind -37 wk)</t>
  </si>
  <si>
    <t>IWR v2.1 RC-OidK (2.O.3 eind -29 wk)</t>
  </si>
  <si>
    <t>IWR v2.1 KG-NOidK (2.NO.5 einde -18 wk)</t>
  </si>
  <si>
    <t>KG-OidK: gebruik KG-NOidK waarde</t>
  </si>
  <si>
    <t>IWR v2.1 NG-NOidK (2.NO.5 einde -20 wk)</t>
  </si>
  <si>
    <t>IWR v2.1 NG-OidK (2.O.11 einde -18 wk)</t>
  </si>
  <si>
    <t>IWR v2.1 RC-NOidK (2.NO.5 einde -20 wk)</t>
  </si>
  <si>
    <t>IWR v2.1 RC-OidK (2.O.11 einde -18 wk)</t>
  </si>
  <si>
    <t>IWR v2.1 KG-NOidK (2.NO.4.1 einde ~-20 wk)</t>
  </si>
  <si>
    <t>idem</t>
  </si>
  <si>
    <t>IWR v2.1 NG-NOidK (2.NO.4.1 einde ~-20 wk)</t>
  </si>
  <si>
    <t>IWR v2.1 NG-OidK (onderdeel 2.O.9, einde -18 wk)</t>
  </si>
  <si>
    <t>IWR v2.1 RC-NOidK (2.NO.4.1 einde ~-20 wk)</t>
  </si>
  <si>
    <t>IWR v2.1 RC-OidK (onderdeel 2.O.9, einde -18 wk)</t>
  </si>
  <si>
    <t>IWR v2.1 (einde DO -15 wk, constant)</t>
  </si>
  <si>
    <t>IWR v2.1 (einde DO-dossier -15 wk)</t>
  </si>
  <si>
    <t>IWR v2.1 (einde Vergunning/ZRO -5 wk)</t>
  </si>
  <si>
    <t>IWR v2.1 (einde Begroting -7 wk)</t>
  </si>
  <si>
    <t>IWR v2.1 (Materiaal -7 wk)</t>
  </si>
  <si>
    <t>IWR v2.1 (Kick-off -5 wk)</t>
  </si>
  <si>
    <t>IWR v2.1 (WVB uitvoering start -4 wk)</t>
  </si>
  <si>
    <t>IWR v2.1 (Startwerkbespreking -1 wk)</t>
  </si>
  <si>
    <t>PROJECTEN  —  Projectenmaster (blauwe cellen = invoer)</t>
  </si>
  <si>
    <t>ProjectID</t>
  </si>
  <si>
    <t>Projectnaam</t>
  </si>
  <si>
    <t>Adres</t>
  </si>
  <si>
    <t>Plaats</t>
  </si>
  <si>
    <t>GSU_Datum</t>
  </si>
  <si>
    <t>Opdrachtgever</t>
  </si>
  <si>
    <t>Opmerkingen</t>
  </si>
  <si>
    <t>IRN24-0175</t>
  </si>
  <si>
    <t>Maasstraat - Dordrecht</t>
  </si>
  <si>
    <t>Maasstraat</t>
  </si>
  <si>
    <t>Dordrecht</t>
  </si>
  <si>
    <t>Michael Bechoe</t>
  </si>
  <si>
    <t>Stedin (gas)</t>
  </si>
  <si>
    <t>NG OidK · wk 2027-03 · In VO-fase, DO nog niet. Bodem ingediend 10-apr.</t>
  </si>
  <si>
    <t>IRN24-0081</t>
  </si>
  <si>
    <t>Rozensingel Fase 2</t>
  </si>
  <si>
    <t>Rozensingel</t>
  </si>
  <si>
    <t>Capelle a/d IJssel</t>
  </si>
  <si>
    <t>Jan Willem Meijer</t>
  </si>
  <si>
    <t>NG NOidK · wk 2026-35 · In ontwerp/engineering. ⚠ VARIANT BEVESTIGEN: NOidK of OidK?</t>
  </si>
  <si>
    <t>IRN24-0134</t>
  </si>
  <si>
    <t>Honingerdijk</t>
  </si>
  <si>
    <t>Rotterdam</t>
  </si>
  <si>
    <t>Naomi Athab</t>
  </si>
  <si>
    <t>NG NOidK · wk 2026-36 · In engineering. ⚠ VARIANT BEVESTIGEN: NOidK of OidK?</t>
  </si>
  <si>
    <t>IRN25-0031</t>
  </si>
  <si>
    <t>Molenstraat Schenkel</t>
  </si>
  <si>
    <t>Strijen</t>
  </si>
  <si>
    <t>Angelo Bhawanidien</t>
  </si>
  <si>
    <t>Stedin (gas/water)</t>
  </si>
  <si>
    <t>NG NOidK · wk 2026-30 · 🔴 KRITIEK: slechts 13 weken tot GSU. ⚠ VARIANT BEVESTIGEN.</t>
  </si>
  <si>
    <t>DASHBOARD_ENGINEER  —  Werkblad per afhankelijkheid per project  (blauwe cellen = invoer, grijze = berekend)</t>
  </si>
  <si>
    <t>Buffer_Wd</t>
  </si>
  <si>
    <t>Eigenaar</t>
  </si>
  <si>
    <t>Status</t>
  </si>
  <si>
    <t>Datum_Uitgezet</t>
  </si>
  <si>
    <t>Datum_Ontvangen</t>
  </si>
  <si>
    <t>Vereiste_Gereed_Datum</t>
  </si>
  <si>
    <t>Uiterlijke_Uitzetdatum</t>
  </si>
  <si>
    <t>Verwacht_Gereed_Datum</t>
  </si>
  <si>
    <t>Geimpliceerde_GSU</t>
  </si>
  <si>
    <t>Resterende_Wd</t>
  </si>
  <si>
    <t>Haalbaar_GSU</t>
  </si>
  <si>
    <t>Actiepunt</t>
  </si>
  <si>
    <t>Showstopper_GSU</t>
  </si>
  <si>
    <t>Showstopper_Fase</t>
  </si>
  <si>
    <t>Stoplicht</t>
  </si>
  <si>
    <t>Oorzaakcode</t>
  </si>
  <si>
    <t>Oorzaak_Toelichting</t>
  </si>
  <si>
    <t>Laatst_Gewijzigd</t>
  </si>
  <si>
    <t>Gewijzigd_Door</t>
  </si>
  <si>
    <t>gami</t>
  </si>
  <si>
    <t>VERTRAGINGEN_SHOWSTOPPERS  —  100% afgeleid uit Dashboard_Engineer (niet handmatig invullen)</t>
  </si>
  <si>
    <t>Norm_Wd</t>
  </si>
  <si>
    <t>GSU_Krit</t>
  </si>
  <si>
    <t>Gate_Krit</t>
  </si>
  <si>
    <t>Vereiste_Gereed</t>
  </si>
  <si>
    <t>Uiterlijke_Uitzet</t>
  </si>
  <si>
    <t>Verwacht_Gereed</t>
  </si>
  <si>
    <t>Rest_Wd</t>
  </si>
  <si>
    <t>SS_GSU</t>
  </si>
  <si>
    <t>SS_Fase</t>
  </si>
  <si>
    <t>PROJECTOVERZICHT  —  Is de GSU haalbaar?  Wat wordt de verwachte GSU?  (100% afgeleid uit Dashboard_Engineer)</t>
  </si>
  <si>
    <t>⬇  LEES HIER: Kolom E = GSU zoals gepland (origineel)  ·  Kolom F = GSU wat het model verwacht op basis van alle openstaande taken  ·  Kolom G = verschil in werkdagen (+9 = 9 dagen slip)  ·  Kolom I = stoplicht  ·  Kolom J = welke taak de slip veroorzaakt</t>
  </si>
  <si>
    <t>GSU_Oorspronkelijk</t>
  </si>
  <si>
    <t>GSU_Verwacht</t>
  </si>
  <si>
    <t>Delta_Werkdagen</t>
  </si>
  <si>
    <t>Delta_Weken</t>
  </si>
  <si>
    <t>Kritiek_Item</t>
  </si>
  <si>
    <t>Aantal_Actiepunten</t>
  </si>
  <si>
    <t>Aantal_Showstoppers</t>
  </si>
  <si>
    <t>SLEUTELDATA  —  13 kritieke mijlpaal-datums per project (geselecteerd project onderin)</t>
  </si>
  <si>
    <t>Kies project:</t>
  </si>
  <si>
    <t>S26-001</t>
  </si>
  <si>
    <t>Projectnaam:</t>
  </si>
  <si>
    <t>Route | Variant:</t>
  </si>
  <si>
    <t>GSU-datum:</t>
  </si>
  <si>
    <t>#</t>
  </si>
  <si>
    <t>Mijlpaal</t>
  </si>
  <si>
    <t>Opmerking</t>
  </si>
  <si>
    <t>Initiatiefase einde (FO akkoord)</t>
  </si>
  <si>
    <t>Warme overdracht (OidK)</t>
  </si>
  <si>
    <t>Proefsleuven rapport goedgekeurd</t>
  </si>
  <si>
    <t>DO getekend</t>
  </si>
  <si>
    <t>DO-dossier goedgekeurd</t>
  </si>
  <si>
    <t>Vergunningen verleend</t>
  </si>
  <si>
    <t>Materiaal besteld</t>
  </si>
  <si>
    <t>Kick-off getekend</t>
  </si>
  <si>
    <t>WVB Uitvoering start</t>
  </si>
  <si>
    <t>GSU (Startuitvoering)</t>
  </si>
  <si>
    <t>GSU</t>
  </si>
  <si>
    <t>Referentiepunt GSU</t>
  </si>
  <si>
    <t>PROCESREGISTER  —  IWR v2.0/v2.1  (overgenomen uit IWR_Procesnavigator_v8)</t>
  </si>
  <si>
    <t>Code</t>
  </si>
  <si>
    <t>Routes</t>
  </si>
  <si>
    <t>Fasegroep</t>
  </si>
  <si>
    <t>Faseblok</t>
  </si>
  <si>
    <t>Stapnaam</t>
  </si>
  <si>
    <t>DLT per route</t>
  </si>
  <si>
    <t>Actor</t>
  </si>
  <si>
    <t>Systeem/Output</t>
  </si>
  <si>
    <t>Showstopper / Opmerkingen</t>
  </si>
  <si>
    <t>◆ Initiatiefase</t>
  </si>
  <si>
    <t>1.K.1-9</t>
  </si>
  <si>
    <t>KG</t>
  </si>
  <si>
    <t>NO+OI</t>
  </si>
  <si>
    <t>Init KG</t>
  </si>
  <si>
    <t>Initiatiefase Klantgedreven (9 stappen)</t>
  </si>
  <si>
    <t>1-10wd/stap</t>
  </si>
  <si>
    <t>Xaris / E-mail / Infradock</t>
  </si>
  <si>
    <t>1.K.7: zonder akkoord projectdossier geen voortgang</t>
  </si>
  <si>
    <t>1.N.1-9</t>
  </si>
  <si>
    <t>NG</t>
  </si>
  <si>
    <t>Init NG</t>
  </si>
  <si>
    <t>Initiatiefase Netgedreven</t>
  </si>
  <si>
    <t>1-9wd/stap</t>
  </si>
  <si>
    <t>Xaris</t>
  </si>
  <si>
    <t>1.N.8: beide NB FO gereed vereist</t>
  </si>
  <si>
    <t>1.R.1-14</t>
  </si>
  <si>
    <t>RC</t>
  </si>
  <si>
    <t>Init RC</t>
  </si>
  <si>
    <t>Initiatiefase Reconstructies</t>
  </si>
  <si>
    <t>Klant (Gemeente)/Netbeheerder</t>
  </si>
  <si>
    <t>1.R.10: VTA goedkeuring | 1.R.13: FO beide NB</t>
  </si>
  <si>
    <t>◆ Engineeringsfase</t>
  </si>
  <si>
    <t>KG+NG+RC</t>
  </si>
  <si>
    <t>NO</t>
  </si>
  <si>
    <t>Voorbereiding</t>
  </si>
  <si>
    <t>Voorbereiden tracé: nettoets/Klic/omgevingsscan/CROW500</t>
  </si>
  <si>
    <t>5wd</t>
  </si>
  <si>
    <t>Eigen systeem NB</t>
  </si>
  <si>
    <t>Input: def. projectdossier (KG) / FO (NG+RC)</t>
  </si>
  <si>
    <t>Bodem</t>
  </si>
  <si>
    <t>Bodemonderzoek CROW 400</t>
  </si>
  <si>
    <t>KG=10wd; NG=20wd; RC=10wd</t>
  </si>
  <si>
    <t>SHOWSTOPPER: rapport vereist vóór proefsleuven + VO</t>
  </si>
  <si>
    <t>2.NO.2-4.1</t>
  </si>
  <si>
    <t>Proefsleuven</t>
  </si>
  <si>
    <t>Afstemmen → opdrachtverstrekking → graven → beoordelen rapport</t>
  </si>
  <si>
    <t>KG=22wd; NG=70wd; RC=40wd</t>
  </si>
  <si>
    <t>Netbeheerder+Aannemer</t>
  </si>
  <si>
    <t>E-mail+Xaris</t>
  </si>
  <si>
    <t>SHOWSTOPPER: goedgekeurd rapport vereist voor VO</t>
  </si>
  <si>
    <t>2.NO.5</t>
  </si>
  <si>
    <t>Uitwerken + intern goedkeuren VO</t>
  </si>
  <si>
    <t>10wd</t>
  </si>
  <si>
    <t>SHOWSTOPPER: goedgekeurd VO vereist voor DO</t>
  </si>
  <si>
    <t>2.NO.6-7</t>
  </si>
  <si>
    <t>Uitwerken (2wd) + Goedkeuren (3wd) DO</t>
  </si>
  <si>
    <t>MIJLPAAL: BEIDE NB getekend DO vereist</t>
  </si>
  <si>
    <t>2.NO.8-9</t>
  </si>
  <si>
    <t>DO-dossier</t>
  </si>
  <si>
    <t>Opleveren + goedkeuren DO-dossier</t>
  </si>
  <si>
    <t>KG=10wd; NG/RC=20wd</t>
  </si>
  <si>
    <t>MIJLPAAL: goedgekeurd dossier vereist voor WVB</t>
  </si>
  <si>
    <t>2.O.1-3</t>
  </si>
  <si>
    <t>NG+RC</t>
  </si>
  <si>
    <t>OI</t>
  </si>
  <si>
    <t>Eng opdracht</t>
  </si>
  <si>
    <t>Voorb. tracé → werkmap → WARME OVERDRACHT</t>
  </si>
  <si>
    <t>5+5+5=15wd</t>
  </si>
  <si>
    <t>MIJLPAAL: BEIDE NB werkmap compleet vóór start aannemer</t>
  </si>
  <si>
    <t>2.O.4-6</t>
  </si>
  <si>
    <t>Eng begroting</t>
  </si>
  <si>
    <t>Engineeringsbegroting → beoordelen → opdracht</t>
  </si>
  <si>
    <t>Aannemer+Netbeheerder</t>
  </si>
  <si>
    <t>Infradock</t>
  </si>
  <si>
    <t>SHOWSTOPPER: inkooporder vereist voor tracéonderzoek</t>
  </si>
  <si>
    <t>2.O.7-9</t>
  </si>
  <si>
    <t>Tracé OidK</t>
  </si>
  <si>
    <t>Bodem + tracéonderzoek (schouw/CROW500/proefsleuven)</t>
  </si>
  <si>
    <t>NG=100wd; RC=50wd</t>
  </si>
  <si>
    <t>Bodem: NG=20wd/RC=10wd; Tracé: NG=75wd/RC=35wd</t>
  </si>
  <si>
    <t>2.O.10-11</t>
  </si>
  <si>
    <t>VO OidK</t>
  </si>
  <si>
    <t>Uitwerken VO (aannemer, 10wd) → Beoord. VO (NB, 10wd)</t>
  </si>
  <si>
    <t>20wd</t>
  </si>
  <si>
    <t>MIJLPAAL: beide NB tegelijk beoordelen</t>
  </si>
  <si>
    <t>2.O.12-13</t>
  </si>
  <si>
    <t>DO OidK</t>
  </si>
  <si>
    <t>Uitwerken DO (2wd) + Goedkeuren DO (3wd)</t>
  </si>
  <si>
    <t>MIJLPAAL: BEIDE NB getekend DO</t>
  </si>
  <si>
    <t>2.O.14-15</t>
  </si>
  <si>
    <t>DO-dossier OidK</t>
  </si>
  <si>
    <t>Aanleveren + beoordelen DO-dossier</t>
  </si>
  <si>
    <t>MIJLPAAL</t>
  </si>
  <si>
    <t>◆ Werkvoorbereiding</t>
  </si>
  <si>
    <t>3.1-1.3</t>
  </si>
  <si>
    <t>Alle</t>
  </si>
  <si>
    <t>Vergunningen</t>
  </si>
  <si>
    <t>Verzoek ZRO + aanvragen (5wd) + uploaden (40wd) + controle (5wd)</t>
  </si>
  <si>
    <t>50wd; -14 t/m -5wk</t>
  </si>
  <si>
    <t>SuperGrover/WoW/Xaris</t>
  </si>
  <si>
    <t>MIJLPAAL: vergunningen noodzakelijk voor uitvoering</t>
  </si>
  <si>
    <t>3.2-2.2</t>
  </si>
  <si>
    <t>Begroting maken (20wd) + afstemmen (15wd) + classificeren (5wd)</t>
  </si>
  <si>
    <t>40wd; -14 t/m -7wk</t>
  </si>
  <si>
    <t>MIJLPAAL: BEIDE NB akkoord + classificering vereist</t>
  </si>
  <si>
    <t>Bestellen TBG-materialen</t>
  </si>
  <si>
    <t>5wd; -7wk</t>
  </si>
  <si>
    <t>SAP PEJ / d365</t>
  </si>
  <si>
    <t>10wd voor levering afroepen</t>
  </si>
  <si>
    <t>3.5-9</t>
  </si>
  <si>
    <t>Opdracht+kick-off</t>
  </si>
  <si>
    <t>Opdracht (10wd) → IO (5wd) → werkmap (5wd) → beoordelen (5wd) → kick-off (5wd)</t>
  </si>
  <si>
    <t>30wd; -6 t/m -5wk</t>
  </si>
  <si>
    <t>AP/E-mail+Xaris</t>
  </si>
  <si>
    <t>MIJLPAAL: getekend kick-off = formele opdracht</t>
  </si>
  <si>
    <t>◆ Uitvoering</t>
  </si>
  <si>
    <t>4.1-4</t>
  </si>
  <si>
    <t>Voorbereiden (20wd) → afroepen (5wd) → startwerkbespreking (1wd) → uitvoeren</t>
  </si>
  <si>
    <t>20wd + projectspecifiek</t>
  </si>
  <si>
    <t>Xaris+Organize+AP</t>
  </si>
  <si>
    <t>Tussentijdse opleveringen: deelrevisies / deel PV-staten</t>
  </si>
  <si>
    <t>◆ Oplevering</t>
  </si>
  <si>
    <t>5.1-10</t>
  </si>
  <si>
    <t>WBUG → beoordelen → adm. opleveren → acceptatie+PVO → factureren → afronding</t>
  </si>
  <si>
    <t>~70wd totaal na uitvoering</t>
  </si>
  <si>
    <t>AP+Organize+Xaris</t>
  </si>
  <si>
    <t>Revisie + PV/termijnstaten + kalibratie = MIJLPALEN</t>
  </si>
  <si>
    <t>HELP  —  Uitleg, bronverwijzingen, bekende inconsistenties</t>
  </si>
  <si>
    <t>Afkortingen</t>
  </si>
  <si>
    <t>Goedkeuring Start Uitvoering — week 0 in alle berekeningen.</t>
  </si>
  <si>
    <t>Niet Opgeschoven in de Keten (aannemer pas na DO).</t>
  </si>
  <si>
    <t>Opgeschoven in de Keten (aannemer al vanaf VO, via warme overdracht).</t>
  </si>
  <si>
    <t>KG / NG / RC</t>
  </si>
  <si>
    <t>Klantgedreven / Netgedreven / Reconstructies.</t>
  </si>
  <si>
    <t>Wd / NETWORKDAYS</t>
  </si>
  <si>
    <t>Werkdagen. Alle berekeningen gebruiken WORKDAY() en NETWORKDAYS() — weekenden worden overgeslagen. Feestdagen zijn NIET gedefinieerd (kan later toegevoegd worden als named range 'Feestdagen').</t>
  </si>
  <si>
    <t>Leidende bronnen</t>
  </si>
  <si>
    <t>IWR-contract v2.1</t>
  </si>
  <si>
    <t>Alle fase-gates, buffer-voor-GSU, route/variant-offsets. 9 PDFs — kernbron: 'Doorlooptijden Processen Klantgedreven - Netgedreven - Reconstructies versie 2.1.pdf'.</t>
  </si>
  <si>
    <t>Trinitas</t>
  </si>
  <si>
    <t>Alle onderzoeks- en boringsdoorlooptijden (tabblad Doorlooptijden + Bron). Planning Trinitas Evides Stedin - basis met behoud dropdowns.xlsm.</t>
  </si>
  <si>
    <t>Bekende inconsistenties</t>
  </si>
  <si>
    <t>Vergunningen 40 vs 50 wd</t>
  </si>
  <si>
    <t>Doorlooptijden-PDF fase-header toont '50 wd' voor Vergunning/ZRO-fase (parallelle substappen). Werkvoorbereidingsfase-PDF en Trinitas zijn consistent: substap 3.1.2 = 40 wd. Model gebruikt 40 wd.</t>
  </si>
  <si>
    <t>Archeologie bureaustudie</t>
  </si>
  <si>
    <t>Trinitas: 5 wk; noot Trinitas: 'hoort 8 weken zijn'. Model gebruikt 5 wk (actuele praktijk); norm-afwijking staat in Normtijden_Config kolom Norm_Afwijking_Opmerking.</t>
  </si>
  <si>
    <t>Verkeersplan</t>
  </si>
  <si>
    <t>Trinitas: 2 wk; noot Trinitas: 'hoort 5 dagen te zijn'; Help Trinitas: 'geen impact op doorlooptijd'. Model: 10 wd, GSU_Kritisch=FALSE.</t>
  </si>
  <si>
    <t>Schouw</t>
  </si>
  <si>
    <t>In IWR-contract niet als aparte stap opgenomen; in Trinitas wel als status-mijlpaal. Model volgt Trinitas: 4 rijen in G-Schouw zonder normtijd. 'Schouw verwerkt in plantekening' is Gate_Kritisch=TRUE voor VO-goedkeuring.</t>
  </si>
  <si>
    <t>RWS-afkeur boring vergunning</t>
  </si>
  <si>
    <t>Trinitas noteert: bij RWS 'ga uit van afkeur → +8 wk doorlooptijd'. In Normtijden_Config item D-B-VG-RWS: 80 wd (= 8 wk + 8 wk potentieel afkeur). Kan verder afgehandeld worden met Oorzaakcode 'RWS-afkeur vergunning (+8 wk)'.</t>
  </si>
  <si>
    <t>Natura 2000 / Wet natuurbescherming</t>
  </si>
  <si>
    <t>24 resp. 28 kalenderweken voor vergunning + bezwaar. In werkdagen: 120 resp. 140 wd. Deze zijn potentieel GSU-fataal bij late start.</t>
  </si>
  <si>
    <t>Logdatum-mechaniek</t>
  </si>
  <si>
    <t>Status → Ingediend</t>
  </si>
  <si>
    <t>VBA stempelt Datum_Uitgezet automatisch (eenmalig, niet overschrijven). Zie dashboard_vba.bas.</t>
  </si>
  <si>
    <t>Status → Afgerond/Goedgekeurd</t>
  </si>
  <si>
    <t>VBA stempelt Datum_Ontvangen (en ook Datum_Uitgezet als die nog leeg was, voor rechtstreekse sprongen).</t>
  </si>
  <si>
    <t>Status → Afgewezen</t>
  </si>
  <si>
    <t>VBA stempelt alleen Datum_Uitgezet. Datum_Ontvangen blijft leeg zodat engineer ziet dat er opnieuw actie nodig is.</t>
  </si>
  <si>
    <t>Zonder VBA</t>
  </si>
  <si>
    <t>Als je het bestand als .xlsx houdt (zonder macro's), moet de engineer Datum_Uitgezet en Datum_Ontvangen handmatig invullen.</t>
  </si>
  <si>
    <t>`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</si>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</sst>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\-yyyy"/>
    <numFmt numFmtId="166" formatCode="dd\-mm\-yyyy\ hh:mm"/>
    <numFmt numFmtId="167" formatCode="0.0"/>
    <numFmt numFmtId="168" formatCode="dd\-mm\-yyyy;;;@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b/>
      <sz val="12"/>
      <name val="Arial"/>
      <charset val="1"/>
    </font>
    <font>
      <sz val="10"/>
      <name val="Arial"/>
      <charset val="1"/>
    </font>
    <font>
      <b/>
      <sz val="10"/>
      <name val="Arial"/>
      <charset val="1"/>
    </font>
    <font>
      <b/>
      <sz val="10"/>
      <color rgb="FFFFFFFF"/>
      <name val="Arial"/>
      <charset val="1"/>
    </font>
    <font>
      <sz val="10"/>
      <color rgb="FF000000"/>
      <name val="Arial"/>
      <charset val="1"/>
    </font>
    <font>
      <i/>
      <sz val="9"/>
      <color rgb="FF595959"/>
      <name val="Arial"/>
      <charset val="1"/>
    </font>
    <font>
      <sz val="10"/>
      <color rgb="FF0000FF"/>
      <name val="Arial"/>
      <charset val="1"/>
    </font>
    <font>
      <sz val="10"/>
      <color rgb="FF008000"/>
      <name val="Arial"/>
      <charset val="1"/>
    </font>
    <font>
      <b/>
      <sz val="10"/>
      <color rgb="FFFFFFFF"/>
      <name val="Arial"/>
    </font>
    <font>
      <sz val="10"/>
      <name val="Arial"/>
    </font>
    <font>
      <b/>
      <sz val="16"/>
      <color rgb="FFFFFFFF"/>
      <name val="Arial"/>
    </font>
    <font>
      <i/>
      <sz val="11"/>
      <color rgb="FFDEEAF1"/>
      <name val="Arial"/>
    </font>
    <font>
      <b/>
      <sz val="9"/>
      <color rgb="FFFFFFFF"/>
      <name val="Arial"/>
    </font>
    <font>
      <b/>
      <sz val="13"/>
      <color rgb="FF1F3864"/>
      <name val="Arial"/>
    </font>
    <font>
      <sz val="10"/>
      <color rgb="FF1F3864"/>
      <name val="Arial"/>
    </font>
    <font>
      <b/>
      <sz val="11"/>
      <color rgb="FFFFFFFF"/>
      <name val="Arial"/>
    </font>
    <font>
      <b/>
      <sz val="10"/>
      <color rgb="FF2E75B6"/>
      <name val="Arial"/>
    </font>
    <font>
      <sz val="10"/>
      <color rgb="FF595959"/>
      <name val="Arial"/>
    </font>
    <font>
      <b/>
      <sz val="10"/>
      <color rgb="FF833C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EFDA"/>
      </patternFill>
    </fill>
    <fill>
      <patternFill patternType="solid">
        <fgColor rgb="FFFFF2CC"/>
        <bgColor rgb="FFFFF2E0"/>
      </patternFill>
    </fill>
    <fill>
      <patternFill patternType="solid">
        <fgColor rgb="FF2E75B6"/>
        <bgColor rgb="FF0066CC"/>
      </patternFill>
    </fill>
    <fill>
      <patternFill patternType="solid">
        <fgColor rgb="FFF2F2F2"/>
        <bgColor rgb="FFFFF2E0"/>
      </patternFill>
    </fill>
    <fill>
      <patternFill patternType="solid">
        <fgColor rgb="FFFFF2E0"/>
        <bgColor rgb="FFFFF2CC"/>
      </patternFill>
    </fill>
    <fill>
      <patternFill patternType="solid">
        <fgColor rgb="FFC00000"/>
        <bgColor rgb="FF800000"/>
      </patternFill>
    </fill>
    <fill>
      <patternFill patternType="solid">
        <fgColor rgb="FF2E75B6"/>
      </patternFill>
    </fill>
    <fill>
      <patternFill patternType="solid">
        <fgColor rgb="FF1F3864"/>
      </patternFill>
    </fill>
    <fill>
      <patternFill patternType="solid">
        <fgColor rgb="FFF8FBFF"/>
      </patternFill>
    </fill>
    <fill>
      <patternFill patternType="solid">
        <fgColor rgb="FF375623"/>
      </patternFill>
    </fill>
    <fill>
      <patternFill patternType="solid">
        <fgColor rgb="FF2F5496"/>
      </patternFill>
    </fill>
    <fill>
      <patternFill patternType="solid">
        <fgColor rgb="FF833C00"/>
      </patternFill>
    </fill>
    <fill>
      <patternFill patternType="solid">
        <fgColor rgb="FFDEEAF1"/>
      </patternFill>
    </fill>
    <fill>
      <patternFill patternType="solid">
        <fgColor rgb="FFF2F2F2"/>
      </patternFill>
    </fill>
    <fill>
      <patternFill patternType="solid">
        <fgColor rgb="FFFFF2CC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thin">
        <color rgb="FFBFBFBF"/>
      </bottom>
      <diagonal/>
    </border>
    <border>
      <left style="medium">
        <color rgb="FF2E75B6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medium">
        <color rgb="FF2E75B6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medium">
        <color rgb="FF2E75B6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2E75B6"/>
      </top>
      <bottom style="thin">
        <color rgb="FFBFBFBF"/>
      </bottom>
      <diagonal/>
    </border>
    <border>
      <left/>
      <right style="medium">
        <color rgb="FF2E75B6"/>
      </right>
      <top style="medium">
        <color rgb="FF2E75B6"/>
      </top>
      <bottom style="thin">
        <color rgb="FFBFBFBF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5" fillId="5" borderId="0" xfId="0" applyFont="1" applyFill="1"/>
    <xf numFmtId="0" fontId="3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/>
    <xf numFmtId="0" fontId="3" fillId="0" borderId="1" xfId="0" applyFont="1" applyBorder="1" applyAlignment="1">
      <alignment horizontal="right" vertical="center" wrapText="1"/>
    </xf>
    <xf numFmtId="0" fontId="6" fillId="0" borderId="1" xfId="0" applyFont="1" applyBorder="1" applyAlignment="1">
      <alignment horizontal="right" vertical="center" wrapText="1"/>
    </xf>
    <xf numFmtId="0" fontId="7" fillId="0" borderId="1" xfId="0" applyFont="1" applyBorder="1"/>
    <xf numFmtId="0" fontId="6" fillId="0" borderId="1" xfId="0" applyFont="1" applyBorder="1"/>
    <xf numFmtId="0" fontId="8" fillId="4" borderId="1" xfId="0" applyFont="1" applyFill="1" applyBorder="1" applyAlignment="1">
      <alignment horizontal="left" vertical="center" wrapText="1"/>
    </xf>
    <xf numFmtId="164" fontId="8" fillId="4" borderId="1" xfId="0" applyNumberFormat="1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right" vertical="center" wrapText="1"/>
    </xf>
    <xf numFmtId="164" fontId="8" fillId="7" borderId="1" xfId="0" applyNumberFormat="1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center" vertical="center" wrapText="1"/>
    </xf>
    <xf numFmtId="166" fontId="8" fillId="7" borderId="1" xfId="0" applyNumberFormat="1" applyFont="1" applyFill="1" applyBorder="1" applyAlignment="1">
      <alignment horizontal="left" vertical="center" wrapText="1"/>
    </xf>
    <xf numFmtId="0" fontId="8" fillId="7" borderId="1" xfId="0" applyFont="1" applyFill="1" applyBorder="1" applyAlignment="1">
      <alignment horizontal="left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166" fontId="0" fillId="0" borderId="0" xfId="0" applyNumberFormat="1"/>
    <xf numFmtId="164" fontId="6" fillId="6" borderId="1" xfId="0" applyNumberFormat="1" applyFont="1" applyFill="1" applyBorder="1" applyAlignment="1">
      <alignment horizontal="center" vertical="center" wrapText="1"/>
    </xf>
    <xf numFmtId="167" fontId="6" fillId="6" borderId="1" xfId="0" applyNumberFormat="1" applyFont="1" applyFill="1" applyBorder="1" applyAlignment="1">
      <alignment horizontal="center" vertical="center" wrapText="1"/>
    </xf>
    <xf numFmtId="0" fontId="2" fillId="0" borderId="0" xfId="0" applyFont="1"/>
    <xf numFmtId="0" fontId="8" fillId="4" borderId="0" xfId="0" applyFont="1" applyFill="1"/>
    <xf numFmtId="0" fontId="9" fillId="0" borderId="0" xfId="0" applyFont="1"/>
    <xf numFmtId="164" fontId="9" fillId="0" borderId="0" xfId="0" applyNumberFormat="1" applyFont="1"/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4" fillId="3" borderId="1" xfId="0" applyFont="1" applyFill="1" applyBorder="1" applyAlignment="1">
      <alignment horizontal="left" vertical="center" wrapText="1"/>
    </xf>
    <xf numFmtId="0" fontId="10" fillId="9" borderId="0" xfId="0" applyFont="1" applyFill="1"/>
    <xf numFmtId="0" fontId="11" fillId="0" borderId="0" xfId="0" applyFont="1"/>
    <xf numFmtId="0" fontId="18" fillId="15" borderId="5" xfId="0" applyFont="1" applyFill="1" applyBorder="1"/>
    <xf numFmtId="168" fontId="6" fillId="6" borderId="1" xfId="0" applyNumberFormat="1" applyFont="1" applyFill="1" applyBorder="1" applyAlignment="1">
      <alignment horizontal="left" vertical="center" wrapText="1"/>
    </xf>
    <xf numFmtId="168" fontId="8" fillId="7" borderId="1" xfId="0" applyNumberFormat="1" applyFont="1" applyFill="1" applyBorder="1" applyAlignment="1">
      <alignment horizontal="left" vertical="center" wrapText="1"/>
    </xf>
    <xf numFmtId="168" fontId="0" fillId="0" borderId="0" xfId="0" applyNumberFormat="1"/>
    <xf numFmtId="168" fontId="6" fillId="6" borderId="1" xfId="0" applyNumberFormat="1" applyFont="1" applyFill="1" applyBorder="1" applyAlignment="1">
      <alignment horizontal="center" vertical="center" wrapText="1"/>
    </xf>
    <xf numFmtId="168" fontId="0" fillId="0" borderId="1" xfId="0" applyNumberFormat="1" applyBorder="1" applyAlignment="1">
      <alignment horizontal="center" vertical="center" wrapText="1"/>
    </xf>
    <xf numFmtId="0" fontId="15" fillId="11" borderId="3" xfId="0" applyFont="1" applyFill="1" applyBorder="1" applyAlignment="1">
      <alignment horizontal="left" vertical="center" wrapText="1"/>
    </xf>
    <xf numFmtId="0" fontId="0" fillId="0" borderId="8" xfId="0" applyBorder="1"/>
    <xf numFmtId="0" fontId="16" fillId="11" borderId="4" xfId="0" applyFont="1" applyFill="1" applyBorder="1" applyAlignment="1">
      <alignment horizontal="left" vertical="top" wrapText="1"/>
    </xf>
    <xf numFmtId="0" fontId="0" fillId="0" borderId="6" xfId="0" applyBorder="1"/>
    <xf numFmtId="0" fontId="0" fillId="0" borderId="7" xfId="0" applyBorder="1"/>
    <xf numFmtId="0" fontId="19" fillId="16" borderId="5" xfId="0" applyFont="1" applyFill="1" applyBorder="1" applyAlignment="1">
      <alignment horizontal="left" vertical="center"/>
    </xf>
    <xf numFmtId="0" fontId="0" fillId="0" borderId="0" xfId="0"/>
    <xf numFmtId="0" fontId="13" fillId="10" borderId="0" xfId="0" applyFont="1" applyFill="1" applyAlignment="1">
      <alignment horizontal="center" vertical="center"/>
    </xf>
    <xf numFmtId="0" fontId="20" fillId="17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12" fillId="10" borderId="0" xfId="0" applyFont="1" applyFill="1" applyAlignment="1">
      <alignment horizontal="center" vertical="center"/>
    </xf>
    <xf numFmtId="0" fontId="14" fillId="13" borderId="2" xfId="0" applyFont="1" applyFill="1" applyBorder="1" applyAlignment="1">
      <alignment horizontal="left" vertical="center"/>
    </xf>
    <xf numFmtId="0" fontId="0" fillId="0" borderId="9" xfId="0" applyBorder="1"/>
    <xf numFmtId="0" fontId="0" fillId="0" borderId="10" xfId="0" applyBorder="1"/>
    <xf numFmtId="0" fontId="17" fillId="10" borderId="0" xfId="0" applyFont="1" applyFill="1" applyAlignment="1">
      <alignment horizontal="center" vertical="center"/>
    </xf>
    <xf numFmtId="0" fontId="14" fillId="14" borderId="2" xfId="0" applyFont="1" applyFill="1" applyBorder="1" applyAlignment="1">
      <alignment horizontal="left" vertical="center"/>
    </xf>
    <xf numFmtId="0" fontId="14" fillId="12" borderId="2" xfId="0" applyFont="1" applyFill="1" applyBorder="1" applyAlignment="1">
      <alignment horizontal="left" vertical="center"/>
    </xf>
    <xf numFmtId="0" fontId="14" fillId="9" borderId="2" xfId="0" applyFont="1" applyFill="1" applyBorder="1" applyAlignment="1">
      <alignment horizontal="left" vertical="center"/>
    </xf>
    <xf numFmtId="0" fontId="18" fillId="15" borderId="5" xfId="0" applyFont="1" applyFill="1" applyBorder="1"/>
    <xf numFmtId="0" fontId="1" fillId="2" borderId="0" xfId="0" applyFont="1" applyFill="1" applyAlignment="1">
      <alignment horizontal="left" vertical="center" wrapText="1"/>
    </xf>
    <xf numFmtId="0" fontId="1" fillId="8" borderId="0" xfId="0" applyFont="1" applyFill="1" applyAlignment="1">
      <alignment horizontal="left" vertical="center" wrapText="1"/>
    </xf>
    <xf numFmtId="0" fontId="5" fillId="8" borderId="0" xfId="0" applyFont="1" applyFill="1" applyAlignment="1">
      <alignment horizontal="left" vertical="center" wrapText="1"/>
    </xf>
    <xf numFmtId="0" fontId="1" fillId="5" borderId="0" xfId="0" applyFont="1" applyFill="1" applyAlignment="1">
      <alignment horizontal="left" vertical="center" wrapText="1"/>
    </xf>
  </cellXfs>
  <cellStyles count="1">
    <cellStyle name="Standaard" xfId="0" builtinId="0"/>
  </cellStyles>
  <dxfs count="18">
    <dxf>
      <fill>
        <patternFill>
          <bgColor rgb="FFF8CBAD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C6EFCE"/>
        </patternFill>
      </fill>
    </dxf>
    <dxf>
      <fill>
        <patternFill>
          <bgColor rgb="FFF8CBAD"/>
        </patternFill>
      </fill>
    </dxf>
    <dxf>
      <fill>
        <patternFill>
          <bgColor rgb="FFFFE699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  <dxf>
      <fill>
        <patternFill>
          <bgColor rgb="FFC6EFCE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  <dxf>
      <fill>
        <patternFill>
          <bgColor rgb="FFC6EFCE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F2F2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2EFDA"/>
      <rgbColor rgb="FFC6EFCE"/>
      <rgbColor rgb="FFFFE699"/>
      <rgbColor rgb="FFFFF2E0"/>
      <rgbColor rgb="FFFF99CC"/>
      <rgbColor rgb="FFCC99FF"/>
      <rgbColor rgb="FFF8CBAD"/>
      <rgbColor rgb="FF2E75B6"/>
      <rgbColor rgb="FF33CCCC"/>
      <rgbColor rgb="FF99CC00"/>
      <rgbColor rgb="FFFFD966"/>
      <rgbColor rgb="FFFF9900"/>
      <rgbColor rgb="FFFF6600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B1:F42"/>
  <sheetViews>
    <sheetView showGridLines="0" zoomScaleNormal="100" workbookViewId="0"/>
  </sheetViews>
  <sheetFormatPr defaultColWidth="8.6640625" defaultRowHeight="14.4" x14ac:dyDescent="0.3"/>
  <cols>
    <col min="1" max="1" width="3" customWidth="1"/>
    <col min="2" max="2" width="28" customWidth="1"/>
    <col min="3" max="3" width="45" customWidth="1"/>
    <col min="4" max="6" width="18" customWidth="1"/>
    <col min="7" max="7" width="3" customWidth="1"/>
  </cols>
  <sheetData>
    <row r="1" spans="2:6" ht="10.050000000000001" customHeight="1" x14ac:dyDescent="0.3">
      <c r="B1" s="49"/>
      <c r="C1" s="49"/>
    </row>
    <row r="2" spans="2:6" ht="31.95" customHeight="1" x14ac:dyDescent="0.3">
      <c r="B2" s="54" t="s">
        <v>0</v>
      </c>
      <c r="C2" s="49"/>
      <c r="D2" s="49"/>
      <c r="E2" s="49"/>
      <c r="F2" s="49"/>
    </row>
    <row r="3" spans="2:6" ht="19.95" customHeight="1" x14ac:dyDescent="0.3">
      <c r="B3" s="50" t="s">
        <v>1</v>
      </c>
      <c r="C3" s="49"/>
      <c r="D3" s="49"/>
      <c r="E3" s="49"/>
      <c r="F3" s="49"/>
    </row>
    <row r="4" spans="2:6" ht="7.95" customHeight="1" x14ac:dyDescent="0.3"/>
    <row r="5" spans="2:6" ht="22.05" customHeight="1" x14ac:dyDescent="0.3">
      <c r="B5" s="61" t="s">
        <v>2</v>
      </c>
      <c r="C5" s="56"/>
      <c r="D5" s="56"/>
      <c r="E5" s="56"/>
      <c r="F5" s="57"/>
    </row>
    <row r="6" spans="2:6" ht="76.05" customHeight="1" x14ac:dyDescent="0.3">
      <c r="B6" s="43" t="s">
        <v>3</v>
      </c>
      <c r="C6" s="44"/>
      <c r="D6" s="45" t="s">
        <v>4</v>
      </c>
      <c r="E6" s="46"/>
      <c r="F6" s="47"/>
    </row>
    <row r="7" spans="2:6" ht="6" customHeight="1" x14ac:dyDescent="0.3"/>
    <row r="10" spans="2:6" ht="22.05" customHeight="1" x14ac:dyDescent="0.3">
      <c r="B10" s="55" t="s">
        <v>5</v>
      </c>
      <c r="C10" s="56"/>
      <c r="D10" s="56"/>
      <c r="E10" s="56"/>
      <c r="F10" s="57"/>
    </row>
    <row r="11" spans="2:6" ht="76.05" customHeight="1" x14ac:dyDescent="0.3">
      <c r="B11" s="43" t="s">
        <v>6</v>
      </c>
      <c r="C11" s="44"/>
      <c r="D11" s="45" t="s">
        <v>7</v>
      </c>
      <c r="E11" s="46"/>
      <c r="F11" s="47"/>
    </row>
    <row r="12" spans="2:6" ht="6" customHeight="1" x14ac:dyDescent="0.3"/>
    <row r="13" spans="2:6" ht="18" customHeight="1" x14ac:dyDescent="0.3"/>
    <row r="14" spans="2:6" ht="18" customHeight="1" x14ac:dyDescent="0.3"/>
    <row r="15" spans="2:6" ht="22.05" customHeight="1" x14ac:dyDescent="0.3">
      <c r="B15" s="60" t="s">
        <v>8</v>
      </c>
      <c r="C15" s="56"/>
      <c r="D15" s="56"/>
      <c r="E15" s="56"/>
      <c r="F15" s="57"/>
    </row>
    <row r="16" spans="2:6" ht="76.05" customHeight="1" x14ac:dyDescent="0.3">
      <c r="B16" s="43" t="s">
        <v>9</v>
      </c>
      <c r="C16" s="44"/>
      <c r="D16" s="45" t="s">
        <v>10</v>
      </c>
      <c r="E16" s="46"/>
      <c r="F16" s="47"/>
    </row>
    <row r="17" spans="2:6" ht="6" customHeight="1" x14ac:dyDescent="0.3"/>
    <row r="18" spans="2:6" ht="18" customHeight="1" x14ac:dyDescent="0.3"/>
    <row r="19" spans="2:6" ht="18" customHeight="1" x14ac:dyDescent="0.3"/>
    <row r="20" spans="2:6" ht="22.05" customHeight="1" x14ac:dyDescent="0.3">
      <c r="B20" s="59" t="s">
        <v>11</v>
      </c>
      <c r="C20" s="56"/>
      <c r="D20" s="56"/>
      <c r="E20" s="56"/>
      <c r="F20" s="57"/>
    </row>
    <row r="21" spans="2:6" ht="76.05" customHeight="1" x14ac:dyDescent="0.3">
      <c r="B21" s="43" t="s">
        <v>12</v>
      </c>
      <c r="C21" s="44"/>
      <c r="D21" s="45" t="s">
        <v>13</v>
      </c>
      <c r="E21" s="46"/>
      <c r="F21" s="47"/>
    </row>
    <row r="22" spans="2:6" ht="6" customHeight="1" x14ac:dyDescent="0.3"/>
    <row r="25" spans="2:6" ht="22.05" customHeight="1" x14ac:dyDescent="0.3">
      <c r="B25" s="49"/>
      <c r="C25" s="49"/>
      <c r="D25" s="49"/>
      <c r="E25" s="49"/>
      <c r="F25" s="49"/>
    </row>
    <row r="26" spans="2:6" ht="7.95" customHeight="1" x14ac:dyDescent="0.3">
      <c r="B26" s="49"/>
      <c r="C26" s="49"/>
      <c r="D26" s="49"/>
      <c r="E26" s="49"/>
      <c r="F26" s="49"/>
    </row>
    <row r="27" spans="2:6" ht="28.05" customHeight="1" x14ac:dyDescent="0.3">
      <c r="B27" s="51" t="s">
        <v>14</v>
      </c>
      <c r="C27" s="52"/>
      <c r="D27" s="52"/>
      <c r="E27" s="52"/>
      <c r="F27" s="53"/>
    </row>
    <row r="29" spans="2:6" ht="7.95" customHeight="1" x14ac:dyDescent="0.3"/>
    <row r="30" spans="2:6" ht="22.05" customHeight="1" x14ac:dyDescent="0.3">
      <c r="B30" s="58" t="s">
        <v>15</v>
      </c>
      <c r="C30" s="49"/>
      <c r="D30" s="49"/>
      <c r="E30" s="49"/>
      <c r="F30" s="49"/>
    </row>
    <row r="31" spans="2:6" ht="16.05" customHeight="1" x14ac:dyDescent="0.3">
      <c r="B31" s="37" t="s">
        <v>16</v>
      </c>
      <c r="C31" s="48" t="s">
        <v>17</v>
      </c>
      <c r="D31" s="46"/>
      <c r="E31" s="46"/>
      <c r="F31" s="44"/>
    </row>
    <row r="32" spans="2:6" ht="16.05" customHeight="1" x14ac:dyDescent="0.3">
      <c r="B32" s="62" t="s">
        <v>18</v>
      </c>
      <c r="C32" s="46"/>
      <c r="D32" s="46"/>
      <c r="E32" s="46"/>
      <c r="F32" s="44"/>
    </row>
    <row r="33" spans="2:6" ht="16.05" customHeight="1" x14ac:dyDescent="0.3">
      <c r="B33" s="37" t="s">
        <v>19</v>
      </c>
      <c r="C33" s="48" t="s">
        <v>20</v>
      </c>
      <c r="D33" s="46"/>
      <c r="E33" s="46"/>
      <c r="F33" s="44"/>
    </row>
    <row r="34" spans="2:6" ht="16.05" customHeight="1" x14ac:dyDescent="0.3">
      <c r="B34" s="37" t="s">
        <v>21</v>
      </c>
      <c r="C34" s="48" t="s">
        <v>22</v>
      </c>
      <c r="D34" s="46"/>
      <c r="E34" s="46"/>
      <c r="F34" s="44"/>
    </row>
    <row r="35" spans="2:6" ht="16.05" customHeight="1" x14ac:dyDescent="0.3">
      <c r="B35" s="37" t="s">
        <v>23</v>
      </c>
      <c r="C35" s="48" t="s">
        <v>24</v>
      </c>
      <c r="D35" s="46"/>
      <c r="E35" s="46"/>
      <c r="F35" s="44"/>
    </row>
    <row r="36" spans="2:6" ht="16.05" customHeight="1" x14ac:dyDescent="0.3">
      <c r="B36" s="37" t="s">
        <v>25</v>
      </c>
      <c r="C36" s="48" t="s">
        <v>26</v>
      </c>
      <c r="D36" s="46"/>
      <c r="E36" s="46"/>
      <c r="F36" s="44"/>
    </row>
    <row r="37" spans="2:6" ht="16.05" customHeight="1" x14ac:dyDescent="0.3">
      <c r="B37" s="37" t="s">
        <v>27</v>
      </c>
      <c r="C37" s="48" t="s">
        <v>28</v>
      </c>
      <c r="D37" s="46"/>
      <c r="E37" s="46"/>
      <c r="F37" s="44"/>
    </row>
    <row r="38" spans="2:6" ht="16.05" customHeight="1" x14ac:dyDescent="0.3">
      <c r="B38" s="37" t="s">
        <v>29</v>
      </c>
      <c r="C38" s="48" t="s">
        <v>30</v>
      </c>
      <c r="D38" s="46"/>
      <c r="E38" s="46"/>
      <c r="F38" s="44"/>
    </row>
    <row r="39" spans="2:6" ht="16.05" customHeight="1" x14ac:dyDescent="0.3">
      <c r="B39" s="37" t="s">
        <v>31</v>
      </c>
      <c r="C39" s="48" t="s">
        <v>32</v>
      </c>
      <c r="D39" s="46"/>
      <c r="E39" s="46"/>
      <c r="F39" s="44"/>
    </row>
    <row r="40" spans="2:6" ht="16.05" customHeight="1" x14ac:dyDescent="0.3">
      <c r="C40" s="49"/>
      <c r="D40" s="49"/>
      <c r="E40" s="49"/>
      <c r="F40" s="49"/>
    </row>
    <row r="41" spans="2:6" ht="16.05" customHeight="1" x14ac:dyDescent="0.3">
      <c r="C41" s="49"/>
      <c r="D41" s="49"/>
      <c r="E41" s="49"/>
      <c r="F41" s="49"/>
    </row>
    <row r="42" spans="2:6" ht="16.05" customHeight="1" x14ac:dyDescent="0.3">
      <c r="C42" s="49"/>
      <c r="D42" s="49"/>
      <c r="E42" s="49"/>
      <c r="F42" s="49"/>
    </row>
  </sheetData>
  <mergeCells count="32">
    <mergeCell ref="B1:C1"/>
    <mergeCell ref="C35:F35"/>
    <mergeCell ref="B10:F10"/>
    <mergeCell ref="D26:F26"/>
    <mergeCell ref="C41:F41"/>
    <mergeCell ref="B30:F30"/>
    <mergeCell ref="C40:F40"/>
    <mergeCell ref="B6:C6"/>
    <mergeCell ref="C31:F31"/>
    <mergeCell ref="B20:F20"/>
    <mergeCell ref="B15:F15"/>
    <mergeCell ref="B5:F5"/>
    <mergeCell ref="B26:C26"/>
    <mergeCell ref="B32:F32"/>
    <mergeCell ref="D6:F6"/>
    <mergeCell ref="C36:F36"/>
    <mergeCell ref="B2:F2"/>
    <mergeCell ref="B11:C11"/>
    <mergeCell ref="C34:F34"/>
    <mergeCell ref="C33:F33"/>
    <mergeCell ref="C42:F42"/>
    <mergeCell ref="B16:C16"/>
    <mergeCell ref="D11:F11"/>
    <mergeCell ref="C39:F39"/>
    <mergeCell ref="B25:F25"/>
    <mergeCell ref="B3:F3"/>
    <mergeCell ref="C38:F38"/>
    <mergeCell ref="C37:F37"/>
    <mergeCell ref="D16:F16"/>
    <mergeCell ref="B27:F27"/>
    <mergeCell ref="D21:F21"/>
    <mergeCell ref="B21:C21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G19"/>
  <sheetViews>
    <sheetView zoomScaleNormal="100" workbookViewId="0"/>
  </sheetViews>
  <sheetFormatPr defaultColWidth="8.6640625" defaultRowHeight="14.4" x14ac:dyDescent="0.3"/>
  <cols>
    <col min="1" max="7" width="28" customWidth="1"/>
  </cols>
  <sheetData>
    <row r="1" spans="1:7" ht="15" customHeight="1" x14ac:dyDescent="0.3">
      <c r="A1" s="5" t="s">
        <v>33</v>
      </c>
      <c r="B1" s="5" t="s">
        <v>34</v>
      </c>
      <c r="C1" s="5" t="s">
        <v>35</v>
      </c>
      <c r="D1" s="5" t="s">
        <v>36</v>
      </c>
      <c r="E1" s="5" t="s">
        <v>37</v>
      </c>
      <c r="F1" s="5" t="s">
        <v>38</v>
      </c>
      <c r="G1" s="5" t="s">
        <v>39</v>
      </c>
    </row>
    <row r="2" spans="1:7" ht="15" customHeight="1" x14ac:dyDescent="0.3">
      <c r="A2" s="6" t="s">
        <v>40</v>
      </c>
      <c r="B2" s="6" t="s">
        <v>41</v>
      </c>
      <c r="C2" s="6" t="s">
        <v>42</v>
      </c>
      <c r="D2" s="6" t="s">
        <v>43</v>
      </c>
      <c r="E2" s="6" t="s">
        <v>44</v>
      </c>
      <c r="F2" s="6" t="s">
        <v>45</v>
      </c>
      <c r="G2" s="6" t="s">
        <v>46</v>
      </c>
    </row>
    <row r="3" spans="1:7" ht="15" customHeight="1" x14ac:dyDescent="0.3">
      <c r="A3" s="6" t="s">
        <v>47</v>
      </c>
      <c r="B3" s="6" t="s">
        <v>48</v>
      </c>
      <c r="C3" s="6" t="s">
        <v>49</v>
      </c>
      <c r="D3" s="6" t="s">
        <v>50</v>
      </c>
      <c r="E3" s="6" t="s">
        <v>51</v>
      </c>
      <c r="F3" s="6" t="s">
        <v>52</v>
      </c>
      <c r="G3" s="6" t="s">
        <v>53</v>
      </c>
    </row>
    <row r="4" spans="1:7" ht="15" customHeight="1" x14ac:dyDescent="0.3">
      <c r="A4" s="6" t="s">
        <v>54</v>
      </c>
      <c r="B4" s="6" t="s">
        <v>55</v>
      </c>
      <c r="D4" s="6" t="s">
        <v>56</v>
      </c>
      <c r="E4" s="6" t="s">
        <v>57</v>
      </c>
      <c r="F4" s="6" t="s">
        <v>58</v>
      </c>
      <c r="G4" s="6" t="s">
        <v>59</v>
      </c>
    </row>
    <row r="5" spans="1:7" ht="15" customHeight="1" x14ac:dyDescent="0.3">
      <c r="A5" s="6" t="s">
        <v>60</v>
      </c>
      <c r="D5" s="6" t="s">
        <v>61</v>
      </c>
      <c r="E5" s="6" t="s">
        <v>62</v>
      </c>
      <c r="F5" s="6" t="s">
        <v>63</v>
      </c>
      <c r="G5" s="6" t="s">
        <v>64</v>
      </c>
    </row>
    <row r="6" spans="1:7" ht="15" customHeight="1" x14ac:dyDescent="0.3">
      <c r="A6" s="6" t="s">
        <v>65</v>
      </c>
      <c r="D6" s="6" t="s">
        <v>66</v>
      </c>
      <c r="E6" s="6" t="s">
        <v>67</v>
      </c>
      <c r="F6" s="6" t="s">
        <v>68</v>
      </c>
      <c r="G6" s="6" t="s">
        <v>69</v>
      </c>
    </row>
    <row r="7" spans="1:7" ht="15" customHeight="1" x14ac:dyDescent="0.3">
      <c r="A7" s="6" t="s">
        <v>70</v>
      </c>
      <c r="D7" s="6" t="s">
        <v>71</v>
      </c>
      <c r="E7" s="6" t="s">
        <v>72</v>
      </c>
      <c r="F7" s="6" t="s">
        <v>73</v>
      </c>
    </row>
    <row r="8" spans="1:7" ht="15" customHeight="1" x14ac:dyDescent="0.3">
      <c r="D8" s="6" t="s">
        <v>74</v>
      </c>
      <c r="E8" s="6" t="s">
        <v>75</v>
      </c>
      <c r="F8" s="6" t="s">
        <v>76</v>
      </c>
    </row>
    <row r="9" spans="1:7" ht="15" customHeight="1" x14ac:dyDescent="0.3">
      <c r="D9" s="6" t="s">
        <v>77</v>
      </c>
      <c r="E9" s="6" t="s">
        <v>78</v>
      </c>
      <c r="F9" s="6" t="s">
        <v>79</v>
      </c>
    </row>
    <row r="10" spans="1:7" ht="15" customHeight="1" x14ac:dyDescent="0.3">
      <c r="E10" s="6" t="s">
        <v>80</v>
      </c>
      <c r="F10" s="6" t="s">
        <v>81</v>
      </c>
    </row>
    <row r="11" spans="1:7" ht="15" customHeight="1" x14ac:dyDescent="0.3">
      <c r="E11" s="6" t="s">
        <v>82</v>
      </c>
      <c r="F11" s="6" t="s">
        <v>83</v>
      </c>
    </row>
    <row r="12" spans="1:7" ht="15" customHeight="1" x14ac:dyDescent="0.3">
      <c r="E12" s="6" t="s">
        <v>84</v>
      </c>
    </row>
    <row r="13" spans="1:7" ht="15" customHeight="1" x14ac:dyDescent="0.3">
      <c r="E13" s="6" t="s">
        <v>85</v>
      </c>
    </row>
    <row r="14" spans="1:7" ht="15" customHeight="1" x14ac:dyDescent="0.3">
      <c r="E14" s="6" t="s">
        <v>86</v>
      </c>
    </row>
    <row r="15" spans="1:7" ht="15" customHeight="1" x14ac:dyDescent="0.3">
      <c r="E15" s="6" t="s">
        <v>87</v>
      </c>
    </row>
    <row r="16" spans="1:7" ht="15" customHeight="1" x14ac:dyDescent="0.3">
      <c r="E16" s="6" t="s">
        <v>88</v>
      </c>
    </row>
    <row r="17" spans="5:5" ht="15" customHeight="1" x14ac:dyDescent="0.3">
      <c r="E17" s="6" t="s">
        <v>89</v>
      </c>
    </row>
    <row r="18" spans="5:5" ht="15" customHeight="1" x14ac:dyDescent="0.3">
      <c r="E18" s="6" t="s">
        <v>90</v>
      </c>
    </row>
    <row r="19" spans="5:5" ht="15" customHeight="1" x14ac:dyDescent="0.3">
      <c r="E19" s="6" t="s">
        <v>91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S55"/>
  <sheetViews>
    <sheetView showGridLines="0" zoomScaleNormal="100" workbookViewId="0">
      <pane ySplit="3" topLeftCell="A4" activePane="bottomLeft" state="frozen"/>
      <selection pane="bottomLeft"/>
    </sheetView>
  </sheetViews>
  <sheetFormatPr defaultColWidth="8.6640625" defaultRowHeight="14.4" x14ac:dyDescent="0.3"/>
  <cols>
    <col min="1" max="1" width="14" customWidth="1"/>
    <col min="2" max="2" width="18" customWidth="1"/>
    <col min="3" max="3" width="16" customWidth="1"/>
    <col min="4" max="4" width="42" customWidth="1"/>
    <col min="5" max="5" width="15" customWidth="1"/>
    <col min="6" max="6" width="10" customWidth="1"/>
    <col min="7" max="7" width="14" customWidth="1"/>
    <col min="8" max="8" width="20" customWidth="1"/>
    <col min="9" max="9" width="14" customWidth="1"/>
    <col min="10" max="11" width="12" customWidth="1"/>
    <col min="12" max="12" width="22" customWidth="1"/>
    <col min="13" max="13" width="18" customWidth="1"/>
    <col min="14" max="14" width="15" customWidth="1"/>
    <col min="15" max="15" width="0.5546875" customWidth="1"/>
    <col min="16" max="16" width="50" customWidth="1"/>
    <col min="17" max="17" width="8" customWidth="1"/>
    <col min="18" max="18" width="10" customWidth="1"/>
    <col min="19" max="19" width="14" customWidth="1"/>
  </cols>
  <sheetData>
    <row r="1" spans="1:19" ht="25.5" customHeight="1" x14ac:dyDescent="0.3">
      <c r="A1" s="63" t="s">
        <v>92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3" spans="1:19" ht="30" customHeight="1" x14ac:dyDescent="0.3">
      <c r="A3" s="7" t="s">
        <v>93</v>
      </c>
      <c r="B3" s="7" t="s">
        <v>94</v>
      </c>
      <c r="C3" s="7" t="s">
        <v>95</v>
      </c>
      <c r="D3" s="7" t="s">
        <v>96</v>
      </c>
      <c r="E3" s="7" t="s">
        <v>97</v>
      </c>
      <c r="F3" s="7" t="s">
        <v>98</v>
      </c>
      <c r="G3" s="7" t="s">
        <v>99</v>
      </c>
      <c r="H3" s="7" t="s">
        <v>100</v>
      </c>
      <c r="I3" s="7" t="s">
        <v>101</v>
      </c>
      <c r="J3" s="7" t="s">
        <v>102</v>
      </c>
      <c r="K3" s="7" t="s">
        <v>103</v>
      </c>
      <c r="L3" s="7" t="s">
        <v>104</v>
      </c>
      <c r="M3" s="7" t="s">
        <v>105</v>
      </c>
      <c r="N3" s="7" t="s">
        <v>106</v>
      </c>
      <c r="O3" s="7" t="s">
        <v>107</v>
      </c>
      <c r="P3" s="7" t="s">
        <v>108</v>
      </c>
      <c r="Q3" s="7" t="s">
        <v>109</v>
      </c>
      <c r="R3" s="7" t="s">
        <v>110</v>
      </c>
      <c r="S3" s="7" t="s">
        <v>111</v>
      </c>
    </row>
    <row r="4" spans="1:19" ht="15" customHeight="1" x14ac:dyDescent="0.3">
      <c r="A4" s="8" t="s">
        <v>112</v>
      </c>
      <c r="B4" s="8" t="s">
        <v>43</v>
      </c>
      <c r="C4" s="8" t="s">
        <v>113</v>
      </c>
      <c r="D4" s="8" t="s">
        <v>114</v>
      </c>
      <c r="E4" s="8" t="s">
        <v>115</v>
      </c>
      <c r="F4" s="8" t="s">
        <v>115</v>
      </c>
      <c r="G4" s="9">
        <v>10</v>
      </c>
      <c r="H4" s="8" t="s">
        <v>116</v>
      </c>
      <c r="I4" s="9"/>
      <c r="J4" s="9" t="b">
        <f>FALSE()</f>
        <v>0</v>
      </c>
      <c r="K4" s="9" t="b">
        <f>FALSE()</f>
        <v>0</v>
      </c>
      <c r="L4" s="8" t="s">
        <v>45</v>
      </c>
      <c r="M4" s="8" t="s">
        <v>53</v>
      </c>
      <c r="N4" s="8" t="s">
        <v>117</v>
      </c>
      <c r="O4" s="8" t="s">
        <v>118</v>
      </c>
      <c r="P4" s="8"/>
      <c r="Q4" s="9" t="b">
        <f>TRUE()</f>
        <v>1</v>
      </c>
      <c r="R4" s="9" t="s">
        <v>113</v>
      </c>
      <c r="S4" s="9" t="s">
        <v>113</v>
      </c>
    </row>
    <row r="5" spans="1:19" ht="15" customHeight="1" x14ac:dyDescent="0.3">
      <c r="A5" s="8" t="s">
        <v>119</v>
      </c>
      <c r="B5" s="8" t="s">
        <v>43</v>
      </c>
      <c r="C5" s="8" t="s">
        <v>120</v>
      </c>
      <c r="D5" s="8" t="s">
        <v>121</v>
      </c>
      <c r="E5" s="8" t="s">
        <v>115</v>
      </c>
      <c r="F5" s="8" t="s">
        <v>115</v>
      </c>
      <c r="G5" s="9">
        <v>20</v>
      </c>
      <c r="H5" s="8" t="s">
        <v>116</v>
      </c>
      <c r="I5" s="9"/>
      <c r="J5" s="9" t="b">
        <f>TRUE()</f>
        <v>1</v>
      </c>
      <c r="K5" s="9" t="b">
        <f>FALSE()</f>
        <v>0</v>
      </c>
      <c r="L5" s="8" t="s">
        <v>45</v>
      </c>
      <c r="M5" s="8" t="s">
        <v>53</v>
      </c>
      <c r="N5" s="8" t="s">
        <v>117</v>
      </c>
      <c r="O5" s="8" t="s">
        <v>122</v>
      </c>
      <c r="P5" s="8"/>
      <c r="Q5" s="9" t="b">
        <f>TRUE()</f>
        <v>1</v>
      </c>
      <c r="R5" s="9" t="s">
        <v>120</v>
      </c>
      <c r="S5" s="9" t="s">
        <v>123</v>
      </c>
    </row>
    <row r="6" spans="1:19" ht="15" customHeight="1" x14ac:dyDescent="0.3">
      <c r="A6" s="8" t="s">
        <v>124</v>
      </c>
      <c r="B6" s="8" t="s">
        <v>43</v>
      </c>
      <c r="C6" s="8" t="s">
        <v>120</v>
      </c>
      <c r="D6" s="8" t="s">
        <v>125</v>
      </c>
      <c r="E6" s="8" t="s">
        <v>115</v>
      </c>
      <c r="F6" s="8" t="s">
        <v>115</v>
      </c>
      <c r="G6" s="9">
        <v>30</v>
      </c>
      <c r="H6" s="8" t="s">
        <v>116</v>
      </c>
      <c r="I6" s="9"/>
      <c r="J6" s="9" t="b">
        <f>TRUE()</f>
        <v>1</v>
      </c>
      <c r="K6" s="9" t="b">
        <f>FALSE()</f>
        <v>0</v>
      </c>
      <c r="L6" s="8" t="s">
        <v>45</v>
      </c>
      <c r="M6" s="8" t="s">
        <v>53</v>
      </c>
      <c r="N6" s="8" t="s">
        <v>117</v>
      </c>
      <c r="O6" s="8" t="s">
        <v>126</v>
      </c>
      <c r="P6" s="8"/>
      <c r="Q6" s="9" t="b">
        <f>TRUE()</f>
        <v>1</v>
      </c>
      <c r="R6" s="9" t="s">
        <v>120</v>
      </c>
      <c r="S6" s="9" t="s">
        <v>123</v>
      </c>
    </row>
    <row r="7" spans="1:19" ht="15" customHeight="1" x14ac:dyDescent="0.3">
      <c r="A7" s="8" t="s">
        <v>127</v>
      </c>
      <c r="B7" s="8" t="s">
        <v>43</v>
      </c>
      <c r="C7" s="8" t="s">
        <v>120</v>
      </c>
      <c r="D7" s="8" t="s">
        <v>128</v>
      </c>
      <c r="E7" s="8" t="s">
        <v>115</v>
      </c>
      <c r="F7" s="8" t="s">
        <v>115</v>
      </c>
      <c r="G7" s="9">
        <v>25</v>
      </c>
      <c r="H7" s="8" t="s">
        <v>116</v>
      </c>
      <c r="I7" s="9"/>
      <c r="J7" s="9" t="b">
        <f>TRUE()</f>
        <v>1</v>
      </c>
      <c r="K7" s="9" t="b">
        <f>FALSE()</f>
        <v>0</v>
      </c>
      <c r="L7" s="8" t="s">
        <v>45</v>
      </c>
      <c r="M7" s="8" t="s">
        <v>53</v>
      </c>
      <c r="N7" s="8" t="s">
        <v>117</v>
      </c>
      <c r="O7" s="8" t="s">
        <v>129</v>
      </c>
      <c r="P7" s="8"/>
      <c r="Q7" s="9" t="b">
        <f>TRUE()</f>
        <v>1</v>
      </c>
      <c r="R7" s="9" t="s">
        <v>120</v>
      </c>
      <c r="S7" s="9" t="s">
        <v>123</v>
      </c>
    </row>
    <row r="8" spans="1:19" ht="15" customHeight="1" x14ac:dyDescent="0.3">
      <c r="A8" s="8" t="s">
        <v>130</v>
      </c>
      <c r="B8" s="8" t="s">
        <v>43</v>
      </c>
      <c r="C8" s="8" t="s">
        <v>131</v>
      </c>
      <c r="D8" s="8" t="s">
        <v>132</v>
      </c>
      <c r="E8" s="8" t="s">
        <v>115</v>
      </c>
      <c r="F8" s="8" t="s">
        <v>115</v>
      </c>
      <c r="G8" s="9">
        <v>30</v>
      </c>
      <c r="H8" s="8" t="s">
        <v>116</v>
      </c>
      <c r="I8" s="9"/>
      <c r="J8" s="9" t="b">
        <f>TRUE()</f>
        <v>1</v>
      </c>
      <c r="K8" s="9" t="b">
        <f>FALSE()</f>
        <v>0</v>
      </c>
      <c r="L8" s="8" t="s">
        <v>45</v>
      </c>
      <c r="M8" s="8" t="s">
        <v>53</v>
      </c>
      <c r="N8" s="8" t="s">
        <v>117</v>
      </c>
      <c r="O8" s="8" t="s">
        <v>126</v>
      </c>
      <c r="P8" s="8" t="s">
        <v>133</v>
      </c>
      <c r="Q8" s="9" t="b">
        <f>TRUE()</f>
        <v>1</v>
      </c>
      <c r="R8" s="9" t="s">
        <v>131</v>
      </c>
      <c r="S8" s="9" t="s">
        <v>131</v>
      </c>
    </row>
    <row r="9" spans="1:19" ht="15" customHeight="1" x14ac:dyDescent="0.3">
      <c r="A9" s="8" t="s">
        <v>134</v>
      </c>
      <c r="B9" s="8" t="s">
        <v>43</v>
      </c>
      <c r="C9" s="8" t="s">
        <v>120</v>
      </c>
      <c r="D9" s="8" t="s">
        <v>135</v>
      </c>
      <c r="E9" s="8" t="s">
        <v>115</v>
      </c>
      <c r="F9" s="8" t="s">
        <v>115</v>
      </c>
      <c r="G9" s="9">
        <v>5</v>
      </c>
      <c r="H9" s="8" t="s">
        <v>116</v>
      </c>
      <c r="I9" s="9"/>
      <c r="J9" s="9" t="b">
        <f>FALSE()</f>
        <v>0</v>
      </c>
      <c r="K9" s="9" t="b">
        <f>FALSE()</f>
        <v>0</v>
      </c>
      <c r="L9" s="8" t="s">
        <v>45</v>
      </c>
      <c r="M9" s="8" t="s">
        <v>53</v>
      </c>
      <c r="N9" s="8" t="s">
        <v>117</v>
      </c>
      <c r="O9" s="8" t="s">
        <v>136</v>
      </c>
      <c r="P9" s="8"/>
      <c r="Q9" s="9" t="b">
        <f>TRUE()</f>
        <v>1</v>
      </c>
      <c r="R9" s="9" t="s">
        <v>120</v>
      </c>
      <c r="S9" s="9" t="s">
        <v>123</v>
      </c>
    </row>
    <row r="10" spans="1:19" ht="15" customHeight="1" x14ac:dyDescent="0.3">
      <c r="A10" s="8" t="s">
        <v>137</v>
      </c>
      <c r="B10" s="8" t="s">
        <v>43</v>
      </c>
      <c r="C10" s="8" t="s">
        <v>131</v>
      </c>
      <c r="D10" s="8" t="s">
        <v>138</v>
      </c>
      <c r="E10" s="8" t="s">
        <v>115</v>
      </c>
      <c r="F10" s="8" t="s">
        <v>115</v>
      </c>
      <c r="G10" s="9">
        <v>20</v>
      </c>
      <c r="H10" s="8" t="s">
        <v>116</v>
      </c>
      <c r="I10" s="9"/>
      <c r="J10" s="9" t="b">
        <f>TRUE()</f>
        <v>1</v>
      </c>
      <c r="K10" s="9" t="b">
        <f>FALSE()</f>
        <v>0</v>
      </c>
      <c r="L10" s="8" t="s">
        <v>45</v>
      </c>
      <c r="M10" s="8" t="s">
        <v>53</v>
      </c>
      <c r="N10" s="8" t="s">
        <v>117</v>
      </c>
      <c r="O10" s="8" t="s">
        <v>122</v>
      </c>
      <c r="P10" s="8"/>
      <c r="Q10" s="9" t="b">
        <f>TRUE()</f>
        <v>1</v>
      </c>
      <c r="R10" s="9" t="s">
        <v>131</v>
      </c>
      <c r="S10" s="9" t="s">
        <v>131</v>
      </c>
    </row>
    <row r="11" spans="1:19" ht="15" customHeight="1" x14ac:dyDescent="0.3">
      <c r="A11" s="8" t="s">
        <v>139</v>
      </c>
      <c r="B11" s="8" t="s">
        <v>43</v>
      </c>
      <c r="C11" s="8" t="s">
        <v>131</v>
      </c>
      <c r="D11" s="8" t="s">
        <v>140</v>
      </c>
      <c r="E11" s="8" t="s">
        <v>115</v>
      </c>
      <c r="F11" s="8" t="s">
        <v>115</v>
      </c>
      <c r="G11" s="9">
        <v>120</v>
      </c>
      <c r="H11" s="8" t="s">
        <v>116</v>
      </c>
      <c r="I11" s="9"/>
      <c r="J11" s="9" t="b">
        <f>TRUE()</f>
        <v>1</v>
      </c>
      <c r="K11" s="9" t="b">
        <f>FALSE()</f>
        <v>0</v>
      </c>
      <c r="L11" s="8" t="s">
        <v>45</v>
      </c>
      <c r="M11" s="8" t="s">
        <v>53</v>
      </c>
      <c r="N11" s="8" t="s">
        <v>117</v>
      </c>
      <c r="O11" s="8" t="s">
        <v>141</v>
      </c>
      <c r="P11" s="8" t="s">
        <v>142</v>
      </c>
      <c r="Q11" s="9" t="b">
        <f>TRUE()</f>
        <v>1</v>
      </c>
      <c r="R11" s="9" t="s">
        <v>131</v>
      </c>
      <c r="S11" s="9" t="s">
        <v>131</v>
      </c>
    </row>
    <row r="12" spans="1:19" ht="15" customHeight="1" x14ac:dyDescent="0.3">
      <c r="A12" s="8" t="s">
        <v>143</v>
      </c>
      <c r="B12" s="8" t="s">
        <v>43</v>
      </c>
      <c r="C12" s="8" t="s">
        <v>120</v>
      </c>
      <c r="D12" s="8" t="s">
        <v>144</v>
      </c>
      <c r="E12" s="8" t="s">
        <v>115</v>
      </c>
      <c r="F12" s="8" t="s">
        <v>115</v>
      </c>
      <c r="G12" s="9">
        <v>30</v>
      </c>
      <c r="H12" s="8" t="s">
        <v>116</v>
      </c>
      <c r="I12" s="9"/>
      <c r="J12" s="9" t="b">
        <f>TRUE()</f>
        <v>1</v>
      </c>
      <c r="K12" s="9" t="b">
        <f>FALSE()</f>
        <v>0</v>
      </c>
      <c r="L12" s="8" t="s">
        <v>45</v>
      </c>
      <c r="M12" s="8" t="s">
        <v>53</v>
      </c>
      <c r="N12" s="8" t="s">
        <v>117</v>
      </c>
      <c r="O12" s="8" t="s">
        <v>126</v>
      </c>
      <c r="P12" s="8"/>
      <c r="Q12" s="9" t="b">
        <f>TRUE()</f>
        <v>1</v>
      </c>
      <c r="R12" s="9" t="s">
        <v>120</v>
      </c>
      <c r="S12" s="9" t="s">
        <v>123</v>
      </c>
    </row>
    <row r="13" spans="1:19" ht="15" customHeight="1" x14ac:dyDescent="0.3">
      <c r="A13" s="8" t="s">
        <v>145</v>
      </c>
      <c r="B13" s="8" t="s">
        <v>43</v>
      </c>
      <c r="C13" s="8" t="s">
        <v>131</v>
      </c>
      <c r="D13" s="8" t="s">
        <v>146</v>
      </c>
      <c r="E13" s="8" t="s">
        <v>115</v>
      </c>
      <c r="F13" s="8" t="s">
        <v>115</v>
      </c>
      <c r="G13" s="9">
        <v>140</v>
      </c>
      <c r="H13" s="8" t="s">
        <v>116</v>
      </c>
      <c r="I13" s="9"/>
      <c r="J13" s="9" t="b">
        <f>TRUE()</f>
        <v>1</v>
      </c>
      <c r="K13" s="9" t="b">
        <f>FALSE()</f>
        <v>0</v>
      </c>
      <c r="L13" s="8" t="s">
        <v>45</v>
      </c>
      <c r="M13" s="8" t="s">
        <v>53</v>
      </c>
      <c r="N13" s="8" t="s">
        <v>117</v>
      </c>
      <c r="O13" s="8" t="s">
        <v>147</v>
      </c>
      <c r="P13" s="8" t="s">
        <v>148</v>
      </c>
      <c r="Q13" s="9" t="b">
        <f>TRUE()</f>
        <v>1</v>
      </c>
      <c r="R13" s="9" t="s">
        <v>131</v>
      </c>
      <c r="S13" s="9" t="s">
        <v>131</v>
      </c>
    </row>
    <row r="14" spans="1:19" ht="15" customHeight="1" x14ac:dyDescent="0.3">
      <c r="A14" s="8" t="s">
        <v>149</v>
      </c>
      <c r="B14" s="8" t="s">
        <v>43</v>
      </c>
      <c r="C14" s="8" t="s">
        <v>120</v>
      </c>
      <c r="D14" s="8" t="s">
        <v>150</v>
      </c>
      <c r="E14" s="8" t="s">
        <v>115</v>
      </c>
      <c r="F14" s="8" t="s">
        <v>115</v>
      </c>
      <c r="G14" s="9">
        <v>30</v>
      </c>
      <c r="H14" s="8" t="s">
        <v>116</v>
      </c>
      <c r="I14" s="9"/>
      <c r="J14" s="9" t="b">
        <f>TRUE()</f>
        <v>1</v>
      </c>
      <c r="K14" s="9" t="b">
        <f>FALSE()</f>
        <v>0</v>
      </c>
      <c r="L14" s="8" t="s">
        <v>45</v>
      </c>
      <c r="M14" s="8" t="s">
        <v>53</v>
      </c>
      <c r="N14" s="8" t="s">
        <v>117</v>
      </c>
      <c r="O14" s="8" t="s">
        <v>126</v>
      </c>
      <c r="P14" s="8"/>
      <c r="Q14" s="9" t="b">
        <f>TRUE()</f>
        <v>1</v>
      </c>
      <c r="R14" s="9" t="s">
        <v>120</v>
      </c>
      <c r="S14" s="9" t="s">
        <v>123</v>
      </c>
    </row>
    <row r="15" spans="1:19" ht="15" customHeight="1" x14ac:dyDescent="0.3">
      <c r="A15" s="8" t="s">
        <v>151</v>
      </c>
      <c r="B15" s="8" t="s">
        <v>43</v>
      </c>
      <c r="C15" s="8" t="s">
        <v>120</v>
      </c>
      <c r="D15" s="8" t="s">
        <v>152</v>
      </c>
      <c r="E15" s="8" t="s">
        <v>115</v>
      </c>
      <c r="F15" s="8" t="s">
        <v>115</v>
      </c>
      <c r="G15" s="9">
        <v>40</v>
      </c>
      <c r="H15" s="8" t="s">
        <v>116</v>
      </c>
      <c r="I15" s="9"/>
      <c r="J15" s="9" t="b">
        <f>TRUE()</f>
        <v>1</v>
      </c>
      <c r="K15" s="9" t="b">
        <f>FALSE()</f>
        <v>0</v>
      </c>
      <c r="L15" s="8" t="s">
        <v>45</v>
      </c>
      <c r="M15" s="8" t="s">
        <v>53</v>
      </c>
      <c r="N15" s="8" t="s">
        <v>117</v>
      </c>
      <c r="O15" s="8" t="s">
        <v>153</v>
      </c>
      <c r="P15" s="8"/>
      <c r="Q15" s="9" t="b">
        <f>TRUE()</f>
        <v>1</v>
      </c>
      <c r="R15" s="9" t="s">
        <v>120</v>
      </c>
      <c r="S15" s="9" t="s">
        <v>123</v>
      </c>
    </row>
    <row r="16" spans="1:19" ht="15" customHeight="1" x14ac:dyDescent="0.3">
      <c r="A16" s="8" t="s">
        <v>154</v>
      </c>
      <c r="B16" s="8" t="s">
        <v>43</v>
      </c>
      <c r="C16" s="8" t="s">
        <v>120</v>
      </c>
      <c r="D16" s="8" t="s">
        <v>155</v>
      </c>
      <c r="E16" s="8" t="s">
        <v>115</v>
      </c>
      <c r="F16" s="8" t="s">
        <v>115</v>
      </c>
      <c r="G16" s="9">
        <v>65</v>
      </c>
      <c r="H16" s="8" t="s">
        <v>116</v>
      </c>
      <c r="I16" s="9"/>
      <c r="J16" s="9" t="b">
        <f>TRUE()</f>
        <v>1</v>
      </c>
      <c r="K16" s="9" t="b">
        <f>FALSE()</f>
        <v>0</v>
      </c>
      <c r="L16" s="8" t="s">
        <v>45</v>
      </c>
      <c r="M16" s="8" t="s">
        <v>53</v>
      </c>
      <c r="N16" s="8" t="s">
        <v>117</v>
      </c>
      <c r="O16" s="8" t="s">
        <v>156</v>
      </c>
      <c r="P16" s="8"/>
      <c r="Q16" s="9" t="b">
        <f>TRUE()</f>
        <v>1</v>
      </c>
      <c r="R16" s="9" t="s">
        <v>120</v>
      </c>
      <c r="S16" s="9" t="s">
        <v>123</v>
      </c>
    </row>
    <row r="17" spans="1:19" ht="15" customHeight="1" x14ac:dyDescent="0.3">
      <c r="A17" s="8" t="s">
        <v>157</v>
      </c>
      <c r="B17" s="8" t="s">
        <v>50</v>
      </c>
      <c r="C17" s="8" t="s">
        <v>158</v>
      </c>
      <c r="D17" s="8" t="s">
        <v>159</v>
      </c>
      <c r="E17" s="8" t="s">
        <v>41</v>
      </c>
      <c r="F17" s="8" t="s">
        <v>42</v>
      </c>
      <c r="G17" s="9">
        <v>10</v>
      </c>
      <c r="H17" s="8" t="s">
        <v>116</v>
      </c>
      <c r="I17" s="9"/>
      <c r="J17" s="9" t="b">
        <f>TRUE()</f>
        <v>1</v>
      </c>
      <c r="K17" s="9" t="b">
        <f>FALSE()</f>
        <v>0</v>
      </c>
      <c r="L17" s="8" t="s">
        <v>68</v>
      </c>
      <c r="M17" s="8" t="s">
        <v>53</v>
      </c>
      <c r="N17" s="8" t="s">
        <v>117</v>
      </c>
      <c r="O17" s="8" t="s">
        <v>160</v>
      </c>
      <c r="P17" s="8"/>
      <c r="Q17" s="9" t="b">
        <f>TRUE()</f>
        <v>1</v>
      </c>
      <c r="R17" s="9" t="s">
        <v>161</v>
      </c>
      <c r="S17" s="9" t="s">
        <v>158</v>
      </c>
    </row>
    <row r="18" spans="1:19" ht="15" customHeight="1" x14ac:dyDescent="0.3">
      <c r="A18" s="8" t="s">
        <v>162</v>
      </c>
      <c r="B18" s="8" t="s">
        <v>50</v>
      </c>
      <c r="C18" s="8" t="s">
        <v>158</v>
      </c>
      <c r="D18" s="8" t="s">
        <v>163</v>
      </c>
      <c r="E18" s="8" t="s">
        <v>48</v>
      </c>
      <c r="F18" s="8" t="s">
        <v>42</v>
      </c>
      <c r="G18" s="9">
        <v>20</v>
      </c>
      <c r="H18" s="8" t="s">
        <v>116</v>
      </c>
      <c r="I18" s="9"/>
      <c r="J18" s="9" t="b">
        <f>TRUE()</f>
        <v>1</v>
      </c>
      <c r="K18" s="9" t="b">
        <f>FALSE()</f>
        <v>0</v>
      </c>
      <c r="L18" s="8" t="s">
        <v>68</v>
      </c>
      <c r="M18" s="8" t="s">
        <v>53</v>
      </c>
      <c r="N18" s="8" t="s">
        <v>117</v>
      </c>
      <c r="O18" s="8" t="s">
        <v>164</v>
      </c>
      <c r="P18" s="8"/>
      <c r="Q18" s="9" t="b">
        <f>TRUE()</f>
        <v>1</v>
      </c>
      <c r="R18" s="9" t="s">
        <v>161</v>
      </c>
      <c r="S18" s="9" t="s">
        <v>158</v>
      </c>
    </row>
    <row r="19" spans="1:19" ht="23.25" customHeight="1" x14ac:dyDescent="0.3">
      <c r="A19" s="8" t="s">
        <v>165</v>
      </c>
      <c r="B19" s="8" t="s">
        <v>50</v>
      </c>
      <c r="C19" s="8" t="s">
        <v>158</v>
      </c>
      <c r="D19" s="8" t="s">
        <v>166</v>
      </c>
      <c r="E19" s="8" t="s">
        <v>48</v>
      </c>
      <c r="F19" s="8" t="s">
        <v>49</v>
      </c>
      <c r="G19" s="9">
        <v>20</v>
      </c>
      <c r="H19" s="8" t="s">
        <v>167</v>
      </c>
      <c r="I19" s="9"/>
      <c r="J19" s="9" t="b">
        <f>TRUE()</f>
        <v>1</v>
      </c>
      <c r="K19" s="9" t="b">
        <f>FALSE()</f>
        <v>0</v>
      </c>
      <c r="L19" s="8" t="s">
        <v>73</v>
      </c>
      <c r="M19" s="8" t="s">
        <v>53</v>
      </c>
      <c r="N19" s="8" t="s">
        <v>168</v>
      </c>
      <c r="O19" s="8" t="s">
        <v>169</v>
      </c>
      <c r="P19" s="8"/>
      <c r="Q19" s="9" t="b">
        <f>TRUE()</f>
        <v>1</v>
      </c>
      <c r="R19" s="9" t="s">
        <v>161</v>
      </c>
      <c r="S19" s="9" t="s">
        <v>158</v>
      </c>
    </row>
    <row r="20" spans="1:19" ht="15" customHeight="1" x14ac:dyDescent="0.3">
      <c r="A20" s="8" t="s">
        <v>170</v>
      </c>
      <c r="B20" s="8" t="s">
        <v>50</v>
      </c>
      <c r="C20" s="8" t="s">
        <v>158</v>
      </c>
      <c r="D20" s="8" t="s">
        <v>171</v>
      </c>
      <c r="E20" s="8" t="s">
        <v>55</v>
      </c>
      <c r="F20" s="8" t="s">
        <v>42</v>
      </c>
      <c r="G20" s="9">
        <v>10</v>
      </c>
      <c r="H20" s="8" t="s">
        <v>116</v>
      </c>
      <c r="I20" s="9"/>
      <c r="J20" s="9" t="b">
        <f>TRUE()</f>
        <v>1</v>
      </c>
      <c r="K20" s="9" t="b">
        <f>FALSE()</f>
        <v>0</v>
      </c>
      <c r="L20" s="8" t="s">
        <v>68</v>
      </c>
      <c r="M20" s="8" t="s">
        <v>53</v>
      </c>
      <c r="N20" s="8" t="s">
        <v>117</v>
      </c>
      <c r="O20" s="8" t="s">
        <v>172</v>
      </c>
      <c r="P20" s="8"/>
      <c r="Q20" s="9" t="b">
        <f>TRUE()</f>
        <v>1</v>
      </c>
      <c r="R20" s="9" t="s">
        <v>161</v>
      </c>
      <c r="S20" s="9" t="s">
        <v>158</v>
      </c>
    </row>
    <row r="21" spans="1:19" ht="23.25" customHeight="1" x14ac:dyDescent="0.3">
      <c r="A21" s="8" t="s">
        <v>173</v>
      </c>
      <c r="B21" s="8" t="s">
        <v>50</v>
      </c>
      <c r="C21" s="8" t="s">
        <v>158</v>
      </c>
      <c r="D21" s="8" t="s">
        <v>174</v>
      </c>
      <c r="E21" s="8" t="s">
        <v>55</v>
      </c>
      <c r="F21" s="8" t="s">
        <v>49</v>
      </c>
      <c r="G21" s="9">
        <v>10</v>
      </c>
      <c r="H21" s="8" t="s">
        <v>167</v>
      </c>
      <c r="I21" s="9"/>
      <c r="J21" s="9" t="b">
        <f>TRUE()</f>
        <v>1</v>
      </c>
      <c r="K21" s="9" t="b">
        <f>FALSE()</f>
        <v>0</v>
      </c>
      <c r="L21" s="8" t="s">
        <v>73</v>
      </c>
      <c r="M21" s="8" t="s">
        <v>53</v>
      </c>
      <c r="N21" s="8" t="s">
        <v>168</v>
      </c>
      <c r="O21" s="8" t="s">
        <v>175</v>
      </c>
      <c r="P21" s="8"/>
      <c r="Q21" s="9" t="b">
        <f>TRUE()</f>
        <v>1</v>
      </c>
      <c r="R21" s="9" t="s">
        <v>161</v>
      </c>
      <c r="S21" s="9" t="s">
        <v>158</v>
      </c>
    </row>
    <row r="22" spans="1:19" ht="15" customHeight="1" x14ac:dyDescent="0.3">
      <c r="A22" s="8" t="s">
        <v>176</v>
      </c>
      <c r="B22" s="8" t="s">
        <v>56</v>
      </c>
      <c r="C22" s="8" t="s">
        <v>158</v>
      </c>
      <c r="D22" s="8" t="s">
        <v>177</v>
      </c>
      <c r="E22" s="8" t="s">
        <v>115</v>
      </c>
      <c r="F22" s="8" t="s">
        <v>115</v>
      </c>
      <c r="G22" s="9">
        <v>10</v>
      </c>
      <c r="H22" s="8" t="s">
        <v>178</v>
      </c>
      <c r="I22" s="9"/>
      <c r="J22" s="9" t="b">
        <f>TRUE()</f>
        <v>1</v>
      </c>
      <c r="K22" s="9" t="b">
        <f>FALSE()</f>
        <v>0</v>
      </c>
      <c r="L22" s="8" t="s">
        <v>73</v>
      </c>
      <c r="M22" s="8" t="s">
        <v>53</v>
      </c>
      <c r="N22" s="8" t="s">
        <v>179</v>
      </c>
      <c r="O22" s="8" t="s">
        <v>180</v>
      </c>
      <c r="P22" s="8"/>
      <c r="Q22" s="9" t="b">
        <f>TRUE()</f>
        <v>1</v>
      </c>
      <c r="R22" s="9" t="s">
        <v>158</v>
      </c>
      <c r="S22" s="9" t="s">
        <v>158</v>
      </c>
    </row>
    <row r="23" spans="1:19" ht="15" customHeight="1" x14ac:dyDescent="0.3">
      <c r="A23" s="8" t="s">
        <v>181</v>
      </c>
      <c r="B23" s="8" t="s">
        <v>56</v>
      </c>
      <c r="C23" s="8" t="s">
        <v>158</v>
      </c>
      <c r="D23" s="8" t="s">
        <v>182</v>
      </c>
      <c r="E23" s="8" t="s">
        <v>115</v>
      </c>
      <c r="F23" s="8" t="s">
        <v>115</v>
      </c>
      <c r="G23" s="9">
        <v>15</v>
      </c>
      <c r="H23" s="8" t="s">
        <v>178</v>
      </c>
      <c r="I23" s="9"/>
      <c r="J23" s="9" t="b">
        <f>TRUE()</f>
        <v>1</v>
      </c>
      <c r="K23" s="9" t="b">
        <f>FALSE()</f>
        <v>0</v>
      </c>
      <c r="L23" s="8" t="s">
        <v>73</v>
      </c>
      <c r="M23" s="8" t="s">
        <v>53</v>
      </c>
      <c r="N23" s="8" t="s">
        <v>179</v>
      </c>
      <c r="O23" s="8" t="s">
        <v>183</v>
      </c>
      <c r="P23" s="8"/>
      <c r="Q23" s="9" t="b">
        <f>TRUE()</f>
        <v>1</v>
      </c>
      <c r="R23" s="9" t="s">
        <v>158</v>
      </c>
      <c r="S23" s="9" t="s">
        <v>158</v>
      </c>
    </row>
    <row r="24" spans="1:19" ht="15" customHeight="1" x14ac:dyDescent="0.3">
      <c r="A24" s="8" t="s">
        <v>184</v>
      </c>
      <c r="B24" s="8" t="s">
        <v>56</v>
      </c>
      <c r="C24" s="8" t="s">
        <v>158</v>
      </c>
      <c r="D24" s="8" t="s">
        <v>185</v>
      </c>
      <c r="E24" s="8" t="s">
        <v>115</v>
      </c>
      <c r="F24" s="8" t="s">
        <v>115</v>
      </c>
      <c r="G24" s="9">
        <v>20</v>
      </c>
      <c r="H24" s="8" t="s">
        <v>178</v>
      </c>
      <c r="I24" s="9"/>
      <c r="J24" s="9" t="b">
        <f>TRUE()</f>
        <v>1</v>
      </c>
      <c r="K24" s="9" t="b">
        <f>FALSE()</f>
        <v>0</v>
      </c>
      <c r="L24" s="8" t="s">
        <v>73</v>
      </c>
      <c r="M24" s="8" t="s">
        <v>53</v>
      </c>
      <c r="N24" s="8" t="s">
        <v>179</v>
      </c>
      <c r="O24" s="8" t="s">
        <v>186</v>
      </c>
      <c r="P24" s="8"/>
      <c r="Q24" s="9" t="b">
        <f>TRUE()</f>
        <v>1</v>
      </c>
      <c r="R24" s="9" t="s">
        <v>158</v>
      </c>
      <c r="S24" s="9" t="s">
        <v>158</v>
      </c>
    </row>
    <row r="25" spans="1:19" ht="15" customHeight="1" x14ac:dyDescent="0.3">
      <c r="A25" s="8" t="s">
        <v>187</v>
      </c>
      <c r="B25" s="8" t="s">
        <v>56</v>
      </c>
      <c r="C25" s="8" t="s">
        <v>188</v>
      </c>
      <c r="D25" s="8" t="s">
        <v>189</v>
      </c>
      <c r="E25" s="8" t="s">
        <v>41</v>
      </c>
      <c r="F25" s="8" t="s">
        <v>42</v>
      </c>
      <c r="G25" s="9">
        <v>10</v>
      </c>
      <c r="H25" s="8" t="s">
        <v>178</v>
      </c>
      <c r="I25" s="9"/>
      <c r="J25" s="9" t="b">
        <f>TRUE()</f>
        <v>1</v>
      </c>
      <c r="K25" s="9" t="b">
        <f>FALSE()</f>
        <v>0</v>
      </c>
      <c r="L25" s="8" t="s">
        <v>73</v>
      </c>
      <c r="M25" s="8" t="s">
        <v>53</v>
      </c>
      <c r="N25" s="8" t="s">
        <v>179</v>
      </c>
      <c r="O25" s="8" t="s">
        <v>190</v>
      </c>
      <c r="P25" s="8"/>
      <c r="Q25" s="9" t="b">
        <f>TRUE()</f>
        <v>1</v>
      </c>
      <c r="R25" s="9" t="s">
        <v>188</v>
      </c>
      <c r="S25" s="9" t="s">
        <v>191</v>
      </c>
    </row>
    <row r="26" spans="1:19" ht="15" customHeight="1" x14ac:dyDescent="0.3">
      <c r="A26" s="8" t="s">
        <v>192</v>
      </c>
      <c r="B26" s="8" t="s">
        <v>56</v>
      </c>
      <c r="C26" s="8" t="s">
        <v>188</v>
      </c>
      <c r="D26" s="8" t="s">
        <v>193</v>
      </c>
      <c r="E26" s="8" t="s">
        <v>48</v>
      </c>
      <c r="F26" s="8" t="s">
        <v>42</v>
      </c>
      <c r="G26" s="9">
        <v>50</v>
      </c>
      <c r="H26" s="8" t="s">
        <v>178</v>
      </c>
      <c r="I26" s="9"/>
      <c r="J26" s="9" t="b">
        <f>TRUE()</f>
        <v>1</v>
      </c>
      <c r="K26" s="9" t="b">
        <f>FALSE()</f>
        <v>0</v>
      </c>
      <c r="L26" s="8" t="s">
        <v>73</v>
      </c>
      <c r="M26" s="8" t="s">
        <v>53</v>
      </c>
      <c r="N26" s="8" t="s">
        <v>179</v>
      </c>
      <c r="O26" s="8" t="s">
        <v>194</v>
      </c>
      <c r="P26" s="8"/>
      <c r="Q26" s="9" t="b">
        <f>TRUE()</f>
        <v>1</v>
      </c>
      <c r="R26" s="9" t="s">
        <v>188</v>
      </c>
      <c r="S26" s="9" t="s">
        <v>191</v>
      </c>
    </row>
    <row r="27" spans="1:19" ht="15" customHeight="1" x14ac:dyDescent="0.3">
      <c r="A27" s="8" t="s">
        <v>195</v>
      </c>
      <c r="B27" s="8" t="s">
        <v>56</v>
      </c>
      <c r="C27" s="8" t="s">
        <v>188</v>
      </c>
      <c r="D27" s="8" t="s">
        <v>196</v>
      </c>
      <c r="E27" s="8" t="s">
        <v>55</v>
      </c>
      <c r="F27" s="8" t="s">
        <v>42</v>
      </c>
      <c r="G27" s="9">
        <v>20</v>
      </c>
      <c r="H27" s="8" t="s">
        <v>178</v>
      </c>
      <c r="I27" s="9"/>
      <c r="J27" s="9" t="b">
        <f>TRUE()</f>
        <v>1</v>
      </c>
      <c r="K27" s="9" t="b">
        <f>FALSE()</f>
        <v>0</v>
      </c>
      <c r="L27" s="8" t="s">
        <v>73</v>
      </c>
      <c r="M27" s="8" t="s">
        <v>53</v>
      </c>
      <c r="N27" s="8" t="s">
        <v>179</v>
      </c>
      <c r="O27" s="8" t="s">
        <v>197</v>
      </c>
      <c r="P27" s="8"/>
      <c r="Q27" s="9" t="b">
        <f>TRUE()</f>
        <v>1</v>
      </c>
      <c r="R27" s="9" t="s">
        <v>188</v>
      </c>
      <c r="S27" s="9" t="s">
        <v>191</v>
      </c>
    </row>
    <row r="28" spans="1:19" ht="23.25" customHeight="1" x14ac:dyDescent="0.3">
      <c r="A28" s="8" t="s">
        <v>198</v>
      </c>
      <c r="B28" s="8" t="s">
        <v>56</v>
      </c>
      <c r="C28" s="8" t="s">
        <v>199</v>
      </c>
      <c r="D28" s="8" t="s">
        <v>200</v>
      </c>
      <c r="E28" s="8" t="s">
        <v>48</v>
      </c>
      <c r="F28" s="8" t="s">
        <v>49</v>
      </c>
      <c r="G28" s="9">
        <v>75</v>
      </c>
      <c r="H28" s="8" t="s">
        <v>116</v>
      </c>
      <c r="I28" s="9"/>
      <c r="J28" s="9" t="b">
        <f>TRUE()</f>
        <v>1</v>
      </c>
      <c r="K28" s="9" t="b">
        <f>FALSE()</f>
        <v>0</v>
      </c>
      <c r="L28" s="8" t="s">
        <v>73</v>
      </c>
      <c r="M28" s="8" t="s">
        <v>53</v>
      </c>
      <c r="N28" s="8" t="s">
        <v>201</v>
      </c>
      <c r="O28" s="8" t="s">
        <v>202</v>
      </c>
      <c r="P28" s="8" t="s">
        <v>203</v>
      </c>
      <c r="Q28" s="9" t="b">
        <f>TRUE()</f>
        <v>1</v>
      </c>
      <c r="R28" s="9" t="s">
        <v>199</v>
      </c>
      <c r="S28" s="9" t="s">
        <v>204</v>
      </c>
    </row>
    <row r="29" spans="1:19" ht="23.25" customHeight="1" x14ac:dyDescent="0.3">
      <c r="A29" s="8" t="s">
        <v>205</v>
      </c>
      <c r="B29" s="8" t="s">
        <v>56</v>
      </c>
      <c r="C29" s="8" t="s">
        <v>199</v>
      </c>
      <c r="D29" s="8" t="s">
        <v>206</v>
      </c>
      <c r="E29" s="8" t="s">
        <v>55</v>
      </c>
      <c r="F29" s="8" t="s">
        <v>49</v>
      </c>
      <c r="G29" s="9">
        <v>35</v>
      </c>
      <c r="H29" s="8" t="s">
        <v>116</v>
      </c>
      <c r="I29" s="9"/>
      <c r="J29" s="9" t="b">
        <f>TRUE()</f>
        <v>1</v>
      </c>
      <c r="K29" s="9" t="b">
        <f>FALSE()</f>
        <v>0</v>
      </c>
      <c r="L29" s="8" t="s">
        <v>73</v>
      </c>
      <c r="M29" s="8" t="s">
        <v>53</v>
      </c>
      <c r="N29" s="8" t="s">
        <v>201</v>
      </c>
      <c r="O29" s="8" t="s">
        <v>207</v>
      </c>
      <c r="P29" s="8" t="s">
        <v>203</v>
      </c>
      <c r="Q29" s="9" t="b">
        <f>TRUE()</f>
        <v>1</v>
      </c>
      <c r="R29" s="9" t="s">
        <v>199</v>
      </c>
      <c r="S29" s="9" t="s">
        <v>204</v>
      </c>
    </row>
    <row r="30" spans="1:19" ht="15" customHeight="1" x14ac:dyDescent="0.3">
      <c r="A30" s="8" t="s">
        <v>208</v>
      </c>
      <c r="B30" s="8" t="s">
        <v>61</v>
      </c>
      <c r="C30" s="8" t="s">
        <v>209</v>
      </c>
      <c r="D30" s="8" t="s">
        <v>210</v>
      </c>
      <c r="E30" s="8" t="s">
        <v>115</v>
      </c>
      <c r="F30" s="8" t="s">
        <v>115</v>
      </c>
      <c r="G30" s="9">
        <v>10</v>
      </c>
      <c r="H30" s="8" t="s">
        <v>116</v>
      </c>
      <c r="I30" s="9"/>
      <c r="J30" s="9" t="b">
        <f>FALSE()</f>
        <v>0</v>
      </c>
      <c r="K30" s="9" t="b">
        <f>FALSE()</f>
        <v>0</v>
      </c>
      <c r="L30" s="8" t="s">
        <v>45</v>
      </c>
      <c r="M30" s="8" t="s">
        <v>53</v>
      </c>
      <c r="N30" s="8" t="s">
        <v>117</v>
      </c>
      <c r="O30" s="8" t="s">
        <v>211</v>
      </c>
      <c r="P30" s="8" t="s">
        <v>212</v>
      </c>
      <c r="Q30" s="9" t="b">
        <f>TRUE()</f>
        <v>1</v>
      </c>
      <c r="R30" s="9" t="s">
        <v>209</v>
      </c>
      <c r="S30" s="9" t="s">
        <v>209</v>
      </c>
    </row>
    <row r="31" spans="1:19" ht="15" customHeight="1" x14ac:dyDescent="0.3">
      <c r="A31" s="8" t="s">
        <v>213</v>
      </c>
      <c r="B31" s="8" t="s">
        <v>61</v>
      </c>
      <c r="C31" s="8" t="s">
        <v>214</v>
      </c>
      <c r="D31" s="8" t="s">
        <v>215</v>
      </c>
      <c r="E31" s="8" t="s">
        <v>115</v>
      </c>
      <c r="F31" s="8" t="s">
        <v>115</v>
      </c>
      <c r="G31" s="9">
        <v>20</v>
      </c>
      <c r="H31" s="8" t="s">
        <v>116</v>
      </c>
      <c r="I31" s="9"/>
      <c r="J31" s="9" t="b">
        <f>TRUE()</f>
        <v>1</v>
      </c>
      <c r="K31" s="9" t="b">
        <f>FALSE()</f>
        <v>0</v>
      </c>
      <c r="L31" s="8" t="s">
        <v>45</v>
      </c>
      <c r="M31" s="8" t="s">
        <v>53</v>
      </c>
      <c r="N31" s="8" t="s">
        <v>117</v>
      </c>
      <c r="O31" s="8" t="s">
        <v>216</v>
      </c>
      <c r="P31" s="8"/>
      <c r="Q31" s="9" t="b">
        <f>TRUE()</f>
        <v>1</v>
      </c>
      <c r="R31" s="9" t="s">
        <v>214</v>
      </c>
      <c r="S31" s="9" t="s">
        <v>214</v>
      </c>
    </row>
    <row r="32" spans="1:19" ht="15" customHeight="1" x14ac:dyDescent="0.3">
      <c r="A32" s="8" t="s">
        <v>217</v>
      </c>
      <c r="B32" s="8" t="s">
        <v>61</v>
      </c>
      <c r="C32" s="8" t="s">
        <v>218</v>
      </c>
      <c r="D32" s="8" t="s">
        <v>219</v>
      </c>
      <c r="E32" s="8" t="s">
        <v>115</v>
      </c>
      <c r="F32" s="8" t="s">
        <v>115</v>
      </c>
      <c r="G32" s="9">
        <v>40</v>
      </c>
      <c r="H32" s="8" t="s">
        <v>116</v>
      </c>
      <c r="I32" s="9"/>
      <c r="J32" s="9" t="b">
        <f>TRUE()</f>
        <v>1</v>
      </c>
      <c r="K32" s="9" t="b">
        <f>FALSE()</f>
        <v>0</v>
      </c>
      <c r="L32" s="8" t="s">
        <v>45</v>
      </c>
      <c r="M32" s="8" t="s">
        <v>53</v>
      </c>
      <c r="N32" s="8" t="s">
        <v>117</v>
      </c>
      <c r="O32" s="8" t="s">
        <v>220</v>
      </c>
      <c r="P32" s="8"/>
      <c r="Q32" s="9" t="b">
        <f>TRUE()</f>
        <v>1</v>
      </c>
      <c r="R32" s="9" t="s">
        <v>218</v>
      </c>
      <c r="S32" s="9" t="s">
        <v>218</v>
      </c>
    </row>
    <row r="33" spans="1:19" ht="15" customHeight="1" x14ac:dyDescent="0.3">
      <c r="A33" s="8" t="s">
        <v>221</v>
      </c>
      <c r="B33" s="8" t="s">
        <v>61</v>
      </c>
      <c r="C33" s="8" t="s">
        <v>222</v>
      </c>
      <c r="D33" s="8" t="s">
        <v>222</v>
      </c>
      <c r="E33" s="8" t="s">
        <v>115</v>
      </c>
      <c r="F33" s="8" t="s">
        <v>115</v>
      </c>
      <c r="G33" s="9">
        <v>10</v>
      </c>
      <c r="H33" s="8" t="s">
        <v>116</v>
      </c>
      <c r="I33" s="9"/>
      <c r="J33" s="9" t="b">
        <f>TRUE()</f>
        <v>1</v>
      </c>
      <c r="K33" s="9" t="b">
        <f>FALSE()</f>
        <v>0</v>
      </c>
      <c r="L33" s="8" t="s">
        <v>45</v>
      </c>
      <c r="M33" s="8" t="s">
        <v>53</v>
      </c>
      <c r="N33" s="8" t="s">
        <v>117</v>
      </c>
      <c r="O33" s="8" t="s">
        <v>211</v>
      </c>
      <c r="P33" s="8"/>
      <c r="Q33" s="9" t="b">
        <f>TRUE()</f>
        <v>1</v>
      </c>
      <c r="R33" s="9" t="s">
        <v>222</v>
      </c>
      <c r="S33" s="9" t="s">
        <v>222</v>
      </c>
    </row>
    <row r="34" spans="1:19" ht="15" customHeight="1" x14ac:dyDescent="0.3">
      <c r="A34" s="8" t="s">
        <v>223</v>
      </c>
      <c r="B34" s="8" t="s">
        <v>61</v>
      </c>
      <c r="C34" s="8" t="s">
        <v>224</v>
      </c>
      <c r="D34" s="8" t="s">
        <v>225</v>
      </c>
      <c r="E34" s="8" t="s">
        <v>115</v>
      </c>
      <c r="F34" s="8" t="s">
        <v>115</v>
      </c>
      <c r="G34" s="9">
        <v>40</v>
      </c>
      <c r="H34" s="8" t="s">
        <v>226</v>
      </c>
      <c r="I34" s="9"/>
      <c r="J34" s="9" t="b">
        <f>TRUE()</f>
        <v>1</v>
      </c>
      <c r="K34" s="9" t="b">
        <f>FALSE()</f>
        <v>0</v>
      </c>
      <c r="L34" s="8" t="s">
        <v>79</v>
      </c>
      <c r="M34" s="8" t="s">
        <v>59</v>
      </c>
      <c r="N34" s="8" t="s">
        <v>227</v>
      </c>
      <c r="O34" s="8" t="s">
        <v>220</v>
      </c>
      <c r="P34" s="8"/>
      <c r="Q34" s="9" t="b">
        <f>TRUE()</f>
        <v>1</v>
      </c>
      <c r="R34" s="9" t="s">
        <v>224</v>
      </c>
      <c r="S34" s="9" t="s">
        <v>224</v>
      </c>
    </row>
    <row r="35" spans="1:19" ht="23.25" customHeight="1" x14ac:dyDescent="0.3">
      <c r="A35" s="8" t="s">
        <v>228</v>
      </c>
      <c r="B35" s="8" t="s">
        <v>61</v>
      </c>
      <c r="C35" s="8" t="s">
        <v>224</v>
      </c>
      <c r="D35" s="8" t="s">
        <v>229</v>
      </c>
      <c r="E35" s="8" t="s">
        <v>115</v>
      </c>
      <c r="F35" s="8" t="s">
        <v>115</v>
      </c>
      <c r="G35" s="9">
        <v>80</v>
      </c>
      <c r="H35" s="8" t="s">
        <v>226</v>
      </c>
      <c r="I35" s="9"/>
      <c r="J35" s="9" t="b">
        <f>TRUE()</f>
        <v>1</v>
      </c>
      <c r="K35" s="9" t="b">
        <f>FALSE()</f>
        <v>0</v>
      </c>
      <c r="L35" s="8" t="s">
        <v>79</v>
      </c>
      <c r="M35" s="8" t="s">
        <v>59</v>
      </c>
      <c r="N35" s="8" t="s">
        <v>227</v>
      </c>
      <c r="O35" s="8" t="s">
        <v>230</v>
      </c>
      <c r="P35" s="8" t="s">
        <v>231</v>
      </c>
      <c r="Q35" s="9" t="b">
        <f>TRUE()</f>
        <v>1</v>
      </c>
      <c r="R35" s="9" t="s">
        <v>224</v>
      </c>
      <c r="S35" s="9" t="s">
        <v>224</v>
      </c>
    </row>
    <row r="36" spans="1:19" ht="23.25" customHeight="1" x14ac:dyDescent="0.3">
      <c r="A36" s="8" t="s">
        <v>232</v>
      </c>
      <c r="B36" s="8" t="s">
        <v>66</v>
      </c>
      <c r="C36" s="8" t="s">
        <v>158</v>
      </c>
      <c r="D36" s="8" t="s">
        <v>233</v>
      </c>
      <c r="E36" s="8" t="s">
        <v>115</v>
      </c>
      <c r="F36" s="8" t="s">
        <v>115</v>
      </c>
      <c r="G36" s="9">
        <v>40</v>
      </c>
      <c r="H36" s="8" t="s">
        <v>226</v>
      </c>
      <c r="I36" s="9"/>
      <c r="J36" s="9" t="b">
        <f>TRUE()</f>
        <v>1</v>
      </c>
      <c r="K36" s="9" t="b">
        <f>FALSE()</f>
        <v>0</v>
      </c>
      <c r="L36" s="8" t="s">
        <v>79</v>
      </c>
      <c r="M36" s="8" t="s">
        <v>59</v>
      </c>
      <c r="N36" s="8" t="s">
        <v>227</v>
      </c>
      <c r="O36" s="8" t="s">
        <v>234</v>
      </c>
      <c r="P36" s="8" t="s">
        <v>235</v>
      </c>
      <c r="Q36" s="9" t="b">
        <f>TRUE()</f>
        <v>1</v>
      </c>
      <c r="R36" s="9" t="s">
        <v>158</v>
      </c>
      <c r="S36" s="9" t="s">
        <v>158</v>
      </c>
    </row>
    <row r="37" spans="1:19" ht="23.25" customHeight="1" x14ac:dyDescent="0.3">
      <c r="A37" s="8" t="s">
        <v>236</v>
      </c>
      <c r="B37" s="8" t="s">
        <v>71</v>
      </c>
      <c r="C37" s="8" t="s">
        <v>158</v>
      </c>
      <c r="D37" s="8" t="s">
        <v>237</v>
      </c>
      <c r="E37" s="8" t="s">
        <v>115</v>
      </c>
      <c r="F37" s="8" t="s">
        <v>115</v>
      </c>
      <c r="G37" s="9">
        <v>10</v>
      </c>
      <c r="H37" s="8" t="s">
        <v>238</v>
      </c>
      <c r="I37" s="9"/>
      <c r="J37" s="9" t="b">
        <f>FALSE()</f>
        <v>0</v>
      </c>
      <c r="K37" s="9" t="b">
        <f>FALSE()</f>
        <v>0</v>
      </c>
      <c r="L37" s="8" t="s">
        <v>45</v>
      </c>
      <c r="M37" s="8" t="s">
        <v>59</v>
      </c>
      <c r="N37" s="8" t="s">
        <v>239</v>
      </c>
      <c r="O37" s="8" t="s">
        <v>240</v>
      </c>
      <c r="P37" s="8"/>
      <c r="Q37" s="9" t="b">
        <f>TRUE()</f>
        <v>1</v>
      </c>
      <c r="R37" s="9" t="s">
        <v>158</v>
      </c>
      <c r="S37" s="9" t="s">
        <v>158</v>
      </c>
    </row>
    <row r="38" spans="1:19" ht="15" customHeight="1" x14ac:dyDescent="0.3">
      <c r="A38" s="8" t="s">
        <v>241</v>
      </c>
      <c r="B38" s="8" t="s">
        <v>74</v>
      </c>
      <c r="C38" s="8" t="s">
        <v>242</v>
      </c>
      <c r="D38" s="8" t="s">
        <v>243</v>
      </c>
      <c r="E38" s="8" t="s">
        <v>115</v>
      </c>
      <c r="F38" s="8" t="s">
        <v>115</v>
      </c>
      <c r="G38" s="9"/>
      <c r="H38" s="8" t="s">
        <v>116</v>
      </c>
      <c r="I38" s="9"/>
      <c r="J38" s="9" t="b">
        <f>FALSE()</f>
        <v>0</v>
      </c>
      <c r="K38" s="9" t="b">
        <f>FALSE()</f>
        <v>0</v>
      </c>
      <c r="L38" s="8" t="s">
        <v>45</v>
      </c>
      <c r="M38" s="8" t="s">
        <v>53</v>
      </c>
      <c r="N38" s="8" t="s">
        <v>244</v>
      </c>
      <c r="O38" s="8" t="s">
        <v>245</v>
      </c>
      <c r="P38" s="8" t="s">
        <v>246</v>
      </c>
      <c r="Q38" s="9" t="b">
        <f>TRUE()</f>
        <v>1</v>
      </c>
      <c r="R38" s="9" t="s">
        <v>242</v>
      </c>
      <c r="S38" s="9" t="s">
        <v>242</v>
      </c>
    </row>
    <row r="39" spans="1:19" ht="23.25" customHeight="1" x14ac:dyDescent="0.3">
      <c r="A39" s="8" t="s">
        <v>247</v>
      </c>
      <c r="B39" s="8" t="s">
        <v>74</v>
      </c>
      <c r="C39" s="8" t="s">
        <v>248</v>
      </c>
      <c r="D39" s="8" t="s">
        <v>249</v>
      </c>
      <c r="E39" s="8" t="s">
        <v>115</v>
      </c>
      <c r="F39" s="8" t="s">
        <v>115</v>
      </c>
      <c r="G39" s="9"/>
      <c r="H39" s="8" t="s">
        <v>116</v>
      </c>
      <c r="I39" s="9"/>
      <c r="J39" s="9" t="b">
        <f>FALSE()</f>
        <v>0</v>
      </c>
      <c r="K39" s="9" t="b">
        <f>FALSE()</f>
        <v>0</v>
      </c>
      <c r="L39" s="8" t="s">
        <v>45</v>
      </c>
      <c r="M39" s="8" t="s">
        <v>53</v>
      </c>
      <c r="N39" s="8" t="s">
        <v>244</v>
      </c>
      <c r="O39" s="8" t="s">
        <v>245</v>
      </c>
      <c r="P39" s="8" t="s">
        <v>250</v>
      </c>
      <c r="Q39" s="9" t="b">
        <f>TRUE()</f>
        <v>1</v>
      </c>
      <c r="R39" s="9" t="s">
        <v>248</v>
      </c>
      <c r="S39" s="9" t="s">
        <v>248</v>
      </c>
    </row>
    <row r="40" spans="1:19" ht="15" customHeight="1" x14ac:dyDescent="0.3">
      <c r="A40" s="8" t="s">
        <v>251</v>
      </c>
      <c r="B40" s="8" t="s">
        <v>74</v>
      </c>
      <c r="C40" s="8" t="s">
        <v>252</v>
      </c>
      <c r="D40" s="8" t="s">
        <v>253</v>
      </c>
      <c r="E40" s="8" t="s">
        <v>115</v>
      </c>
      <c r="F40" s="8" t="s">
        <v>115</v>
      </c>
      <c r="G40" s="9"/>
      <c r="H40" s="8" t="s">
        <v>116</v>
      </c>
      <c r="I40" s="9"/>
      <c r="J40" s="9" t="b">
        <f>FALSE()</f>
        <v>0</v>
      </c>
      <c r="K40" s="9" t="b">
        <f>FALSE()</f>
        <v>0</v>
      </c>
      <c r="L40" s="8" t="s">
        <v>45</v>
      </c>
      <c r="M40" s="8" t="s">
        <v>53</v>
      </c>
      <c r="N40" s="8" t="s">
        <v>244</v>
      </c>
      <c r="O40" s="8" t="s">
        <v>245</v>
      </c>
      <c r="P40" s="8" t="s">
        <v>250</v>
      </c>
      <c r="Q40" s="9" t="b">
        <f>TRUE()</f>
        <v>1</v>
      </c>
      <c r="R40" s="9" t="s">
        <v>252</v>
      </c>
      <c r="S40" s="9" t="s">
        <v>252</v>
      </c>
    </row>
    <row r="41" spans="1:19" ht="15" customHeight="1" x14ac:dyDescent="0.3">
      <c r="A41" s="8" t="s">
        <v>254</v>
      </c>
      <c r="B41" s="8" t="s">
        <v>74</v>
      </c>
      <c r="C41" s="8" t="s">
        <v>255</v>
      </c>
      <c r="D41" s="8" t="s">
        <v>256</v>
      </c>
      <c r="E41" s="8" t="s">
        <v>115</v>
      </c>
      <c r="F41" s="8" t="s">
        <v>115</v>
      </c>
      <c r="G41" s="9"/>
      <c r="H41" s="8" t="s">
        <v>116</v>
      </c>
      <c r="I41" s="9"/>
      <c r="J41" s="9" t="b">
        <f>FALSE()</f>
        <v>0</v>
      </c>
      <c r="K41" s="9" t="b">
        <f>TRUE()</f>
        <v>1</v>
      </c>
      <c r="L41" s="8" t="s">
        <v>45</v>
      </c>
      <c r="M41" s="8" t="s">
        <v>53</v>
      </c>
      <c r="N41" s="8" t="s">
        <v>244</v>
      </c>
      <c r="O41" s="8" t="s">
        <v>257</v>
      </c>
      <c r="P41" s="8" t="s">
        <v>258</v>
      </c>
      <c r="Q41" s="9" t="b">
        <f>TRUE()</f>
        <v>1</v>
      </c>
      <c r="R41" s="9" t="s">
        <v>255</v>
      </c>
      <c r="S41" s="9" t="s">
        <v>255</v>
      </c>
    </row>
    <row r="42" spans="1:19" ht="15" customHeight="1" x14ac:dyDescent="0.3">
      <c r="A42" s="8" t="s">
        <v>259</v>
      </c>
      <c r="B42" s="8" t="s">
        <v>77</v>
      </c>
      <c r="C42" s="8" t="s">
        <v>260</v>
      </c>
      <c r="D42" s="8" t="s">
        <v>261</v>
      </c>
      <c r="E42" s="8" t="s">
        <v>115</v>
      </c>
      <c r="F42" s="8" t="s">
        <v>115</v>
      </c>
      <c r="G42" s="9"/>
      <c r="H42" s="8" t="s">
        <v>116</v>
      </c>
      <c r="I42" s="9"/>
      <c r="J42" s="9" t="b">
        <f>FALSE()</f>
        <v>0</v>
      </c>
      <c r="K42" s="9" t="b">
        <f>TRUE()</f>
        <v>1</v>
      </c>
      <c r="L42" s="8" t="s">
        <v>68</v>
      </c>
      <c r="M42" s="8" t="s">
        <v>53</v>
      </c>
      <c r="N42" s="8" t="s">
        <v>262</v>
      </c>
      <c r="O42" s="8" t="s">
        <v>263</v>
      </c>
      <c r="P42" s="8"/>
      <c r="Q42" s="9" t="b">
        <f>TRUE()</f>
        <v>1</v>
      </c>
      <c r="R42" s="9" t="s">
        <v>264</v>
      </c>
      <c r="S42" s="9" t="s">
        <v>260</v>
      </c>
    </row>
    <row r="43" spans="1:19" ht="15" customHeight="1" x14ac:dyDescent="0.3">
      <c r="A43" s="8" t="s">
        <v>265</v>
      </c>
      <c r="B43" s="8" t="s">
        <v>77</v>
      </c>
      <c r="C43" s="8" t="s">
        <v>266</v>
      </c>
      <c r="D43" s="8" t="s">
        <v>267</v>
      </c>
      <c r="E43" s="8" t="s">
        <v>115</v>
      </c>
      <c r="F43" s="8" t="s">
        <v>115</v>
      </c>
      <c r="G43" s="9"/>
      <c r="H43" s="8" t="s">
        <v>268</v>
      </c>
      <c r="I43" s="9"/>
      <c r="J43" s="9" t="b">
        <f>FALSE()</f>
        <v>0</v>
      </c>
      <c r="K43" s="9" t="b">
        <f>TRUE()</f>
        <v>1</v>
      </c>
      <c r="L43" s="8" t="s">
        <v>68</v>
      </c>
      <c r="M43" s="8" t="s">
        <v>53</v>
      </c>
      <c r="N43" s="8" t="s">
        <v>269</v>
      </c>
      <c r="O43" s="8" t="s">
        <v>270</v>
      </c>
      <c r="P43" s="8" t="s">
        <v>271</v>
      </c>
      <c r="Q43" s="9" t="b">
        <f>TRUE()</f>
        <v>1</v>
      </c>
      <c r="R43" s="9" t="s">
        <v>264</v>
      </c>
      <c r="S43" s="9" t="s">
        <v>266</v>
      </c>
    </row>
    <row r="44" spans="1:19" ht="15" customHeight="1" x14ac:dyDescent="0.3">
      <c r="A44" s="8" t="s">
        <v>272</v>
      </c>
      <c r="B44" s="8" t="s">
        <v>77</v>
      </c>
      <c r="C44" s="8" t="s">
        <v>273</v>
      </c>
      <c r="D44" s="8" t="s">
        <v>274</v>
      </c>
      <c r="E44" s="8" t="s">
        <v>41</v>
      </c>
      <c r="F44" s="8" t="s">
        <v>115</v>
      </c>
      <c r="G44" s="9">
        <v>5</v>
      </c>
      <c r="H44" s="8" t="s">
        <v>275</v>
      </c>
      <c r="I44" s="9"/>
      <c r="J44" s="9" t="b">
        <f>FALSE()</f>
        <v>0</v>
      </c>
      <c r="K44" s="9" t="b">
        <f>TRUE()</f>
        <v>1</v>
      </c>
      <c r="L44" s="8" t="s">
        <v>73</v>
      </c>
      <c r="M44" s="8" t="s">
        <v>53</v>
      </c>
      <c r="N44" s="8" t="s">
        <v>276</v>
      </c>
      <c r="O44" s="8" t="s">
        <v>277</v>
      </c>
      <c r="P44" s="8"/>
      <c r="Q44" s="9" t="b">
        <f>TRUE()</f>
        <v>1</v>
      </c>
      <c r="R44" s="9" t="s">
        <v>264</v>
      </c>
      <c r="S44" s="9" t="s">
        <v>273</v>
      </c>
    </row>
    <row r="45" spans="1:19" ht="15" customHeight="1" x14ac:dyDescent="0.3">
      <c r="A45" s="8" t="s">
        <v>278</v>
      </c>
      <c r="B45" s="8" t="s">
        <v>77</v>
      </c>
      <c r="C45" s="8" t="s">
        <v>273</v>
      </c>
      <c r="D45" s="8" t="s">
        <v>279</v>
      </c>
      <c r="E45" s="8" t="s">
        <v>48</v>
      </c>
      <c r="F45" s="8" t="s">
        <v>115</v>
      </c>
      <c r="G45" s="9">
        <v>15</v>
      </c>
      <c r="H45" s="8" t="s">
        <v>275</v>
      </c>
      <c r="I45" s="9"/>
      <c r="J45" s="9" t="b">
        <f>FALSE()</f>
        <v>0</v>
      </c>
      <c r="K45" s="9" t="b">
        <f>TRUE()</f>
        <v>1</v>
      </c>
      <c r="L45" s="8" t="s">
        <v>68</v>
      </c>
      <c r="M45" s="8" t="s">
        <v>53</v>
      </c>
      <c r="N45" s="8" t="s">
        <v>280</v>
      </c>
      <c r="O45" s="8" t="s">
        <v>281</v>
      </c>
      <c r="P45" s="8"/>
      <c r="Q45" s="9" t="b">
        <f>TRUE()</f>
        <v>1</v>
      </c>
      <c r="R45" s="9" t="s">
        <v>264</v>
      </c>
      <c r="S45" s="9" t="s">
        <v>273</v>
      </c>
    </row>
    <row r="46" spans="1:19" ht="15" customHeight="1" x14ac:dyDescent="0.3">
      <c r="A46" s="8" t="s">
        <v>282</v>
      </c>
      <c r="B46" s="8" t="s">
        <v>77</v>
      </c>
      <c r="C46" s="8" t="s">
        <v>273</v>
      </c>
      <c r="D46" s="8" t="s">
        <v>283</v>
      </c>
      <c r="E46" s="8" t="s">
        <v>55</v>
      </c>
      <c r="F46" s="8" t="s">
        <v>115</v>
      </c>
      <c r="G46" s="9">
        <v>15</v>
      </c>
      <c r="H46" s="8" t="s">
        <v>275</v>
      </c>
      <c r="I46" s="9"/>
      <c r="J46" s="9" t="b">
        <f>FALSE()</f>
        <v>0</v>
      </c>
      <c r="K46" s="9" t="b">
        <f>TRUE()</f>
        <v>1</v>
      </c>
      <c r="L46" s="8" t="s">
        <v>68</v>
      </c>
      <c r="M46" s="8" t="s">
        <v>53</v>
      </c>
      <c r="N46" s="8" t="s">
        <v>280</v>
      </c>
      <c r="O46" s="8" t="s">
        <v>281</v>
      </c>
      <c r="P46" s="8"/>
      <c r="Q46" s="9" t="b">
        <f>TRUE()</f>
        <v>1</v>
      </c>
      <c r="R46" s="9" t="s">
        <v>264</v>
      </c>
      <c r="S46" s="9" t="s">
        <v>273</v>
      </c>
    </row>
    <row r="47" spans="1:19" ht="15" customHeight="1" x14ac:dyDescent="0.3">
      <c r="A47" s="8" t="s">
        <v>284</v>
      </c>
      <c r="B47" s="8" t="s">
        <v>77</v>
      </c>
      <c r="C47" s="8" t="s">
        <v>285</v>
      </c>
      <c r="D47" s="8" t="s">
        <v>286</v>
      </c>
      <c r="E47" s="8" t="s">
        <v>115</v>
      </c>
      <c r="F47" s="8" t="s">
        <v>115</v>
      </c>
      <c r="G47" s="9">
        <v>5</v>
      </c>
      <c r="H47" s="8" t="s">
        <v>287</v>
      </c>
      <c r="I47" s="9"/>
      <c r="J47" s="9" t="b">
        <f>FALSE()</f>
        <v>0</v>
      </c>
      <c r="K47" s="9" t="b">
        <f>TRUE()</f>
        <v>1</v>
      </c>
      <c r="L47" s="8" t="s">
        <v>68</v>
      </c>
      <c r="M47" s="8" t="s">
        <v>59</v>
      </c>
      <c r="N47" s="8" t="s">
        <v>288</v>
      </c>
      <c r="O47" s="8" t="s">
        <v>289</v>
      </c>
      <c r="P47" s="8"/>
      <c r="Q47" s="9" t="b">
        <f>TRUE()</f>
        <v>1</v>
      </c>
      <c r="R47" s="9" t="s">
        <v>264</v>
      </c>
      <c r="S47" s="9" t="s">
        <v>285</v>
      </c>
    </row>
    <row r="48" spans="1:19" ht="15" customHeight="1" x14ac:dyDescent="0.3">
      <c r="A48" s="8" t="s">
        <v>290</v>
      </c>
      <c r="B48" s="8" t="s">
        <v>77</v>
      </c>
      <c r="C48" s="8" t="s">
        <v>291</v>
      </c>
      <c r="D48" s="8" t="s">
        <v>292</v>
      </c>
      <c r="E48" s="8" t="s">
        <v>115</v>
      </c>
      <c r="F48" s="8" t="s">
        <v>115</v>
      </c>
      <c r="G48" s="9">
        <v>5</v>
      </c>
      <c r="H48" s="8" t="s">
        <v>293</v>
      </c>
      <c r="I48" s="9"/>
      <c r="J48" s="9" t="b">
        <f>FALSE()</f>
        <v>0</v>
      </c>
      <c r="K48" s="9" t="b">
        <f>TRUE()</f>
        <v>1</v>
      </c>
      <c r="L48" s="8" t="s">
        <v>68</v>
      </c>
      <c r="M48" s="8" t="s">
        <v>59</v>
      </c>
      <c r="N48" s="8" t="s">
        <v>294</v>
      </c>
      <c r="O48" s="8" t="s">
        <v>295</v>
      </c>
      <c r="P48" s="8"/>
      <c r="Q48" s="9" t="b">
        <f>TRUE()</f>
        <v>1</v>
      </c>
      <c r="R48" s="9" t="s">
        <v>264</v>
      </c>
      <c r="S48" s="9" t="s">
        <v>291</v>
      </c>
    </row>
    <row r="49" spans="1:19" ht="15" customHeight="1" x14ac:dyDescent="0.3">
      <c r="A49" s="8" t="s">
        <v>296</v>
      </c>
      <c r="B49" s="8" t="s">
        <v>77</v>
      </c>
      <c r="C49" s="8" t="s">
        <v>297</v>
      </c>
      <c r="D49" s="8" t="s">
        <v>298</v>
      </c>
      <c r="E49" s="8" t="s">
        <v>115</v>
      </c>
      <c r="F49" s="8" t="s">
        <v>115</v>
      </c>
      <c r="G49" s="9">
        <v>5</v>
      </c>
      <c r="H49" s="8" t="s">
        <v>299</v>
      </c>
      <c r="I49" s="9"/>
      <c r="J49" s="9" t="b">
        <f>FALSE()</f>
        <v>0</v>
      </c>
      <c r="K49" s="9" t="b">
        <f>TRUE()</f>
        <v>1</v>
      </c>
      <c r="L49" s="8" t="s">
        <v>73</v>
      </c>
      <c r="M49" s="8" t="s">
        <v>59</v>
      </c>
      <c r="N49" s="8" t="s">
        <v>300</v>
      </c>
      <c r="O49" s="8" t="s">
        <v>301</v>
      </c>
      <c r="P49" s="8"/>
      <c r="Q49" s="9" t="b">
        <f>TRUE()</f>
        <v>1</v>
      </c>
      <c r="R49" s="9" t="s">
        <v>264</v>
      </c>
      <c r="S49" s="9" t="s">
        <v>297</v>
      </c>
    </row>
    <row r="50" spans="1:19" ht="15" customHeight="1" x14ac:dyDescent="0.3">
      <c r="A50" s="8" t="s">
        <v>302</v>
      </c>
      <c r="B50" s="8" t="s">
        <v>77</v>
      </c>
      <c r="C50" s="8" t="s">
        <v>303</v>
      </c>
      <c r="D50" s="8" t="s">
        <v>304</v>
      </c>
      <c r="E50" s="8" t="s">
        <v>115</v>
      </c>
      <c r="F50" s="8" t="s">
        <v>115</v>
      </c>
      <c r="G50" s="9">
        <v>1</v>
      </c>
      <c r="H50" s="8" t="s">
        <v>305</v>
      </c>
      <c r="I50" s="9"/>
      <c r="J50" s="9" t="b">
        <f>FALSE()</f>
        <v>0</v>
      </c>
      <c r="K50" s="9" t="b">
        <f>TRUE()</f>
        <v>1</v>
      </c>
      <c r="L50" s="8" t="s">
        <v>73</v>
      </c>
      <c r="M50" s="8" t="s">
        <v>64</v>
      </c>
      <c r="N50" s="8" t="s">
        <v>306</v>
      </c>
      <c r="O50" s="8" t="s">
        <v>307</v>
      </c>
      <c r="P50" s="8"/>
      <c r="Q50" s="9" t="b">
        <f>TRUE()</f>
        <v>1</v>
      </c>
      <c r="R50" s="9" t="s">
        <v>264</v>
      </c>
      <c r="S50" s="9" t="s">
        <v>303</v>
      </c>
    </row>
    <row r="51" spans="1:19" ht="15" customHeight="1" x14ac:dyDescent="0.3">
      <c r="A51" s="8" t="s">
        <v>308</v>
      </c>
      <c r="B51" s="8" t="s">
        <v>77</v>
      </c>
      <c r="C51" s="8" t="s">
        <v>309</v>
      </c>
      <c r="D51" s="8" t="s">
        <v>310</v>
      </c>
      <c r="E51" s="8" t="s">
        <v>48</v>
      </c>
      <c r="F51" s="8" t="s">
        <v>49</v>
      </c>
      <c r="G51" s="9">
        <v>5</v>
      </c>
      <c r="H51" s="8" t="s">
        <v>167</v>
      </c>
      <c r="I51" s="9"/>
      <c r="J51" s="9" t="b">
        <f>FALSE()</f>
        <v>0</v>
      </c>
      <c r="K51" s="9" t="b">
        <f>TRUE()</f>
        <v>1</v>
      </c>
      <c r="L51" s="8" t="s">
        <v>68</v>
      </c>
      <c r="M51" s="8" t="s">
        <v>53</v>
      </c>
      <c r="N51" s="8" t="s">
        <v>311</v>
      </c>
      <c r="O51" s="8" t="s">
        <v>312</v>
      </c>
      <c r="P51" s="8"/>
      <c r="Q51" s="9" t="b">
        <f>TRUE()</f>
        <v>1</v>
      </c>
      <c r="R51" s="9" t="s">
        <v>309</v>
      </c>
      <c r="S51" s="9" t="s">
        <v>313</v>
      </c>
    </row>
    <row r="52" spans="1:19" ht="15" customHeight="1" x14ac:dyDescent="0.3">
      <c r="A52" s="8" t="s">
        <v>314</v>
      </c>
      <c r="B52" s="8" t="s">
        <v>77</v>
      </c>
      <c r="C52" s="8" t="s">
        <v>309</v>
      </c>
      <c r="D52" s="8" t="s">
        <v>315</v>
      </c>
      <c r="E52" s="8" t="s">
        <v>55</v>
      </c>
      <c r="F52" s="8" t="s">
        <v>49</v>
      </c>
      <c r="G52" s="9">
        <v>5</v>
      </c>
      <c r="H52" s="8" t="s">
        <v>167</v>
      </c>
      <c r="I52" s="9"/>
      <c r="J52" s="9" t="b">
        <f>FALSE()</f>
        <v>0</v>
      </c>
      <c r="K52" s="9" t="b">
        <f>TRUE()</f>
        <v>1</v>
      </c>
      <c r="L52" s="8" t="s">
        <v>68</v>
      </c>
      <c r="M52" s="8" t="s">
        <v>53</v>
      </c>
      <c r="N52" s="8" t="s">
        <v>311</v>
      </c>
      <c r="O52" s="8" t="s">
        <v>316</v>
      </c>
      <c r="P52" s="8"/>
      <c r="Q52" s="9" t="b">
        <f>TRUE()</f>
        <v>1</v>
      </c>
      <c r="R52" s="9" t="s">
        <v>309</v>
      </c>
      <c r="S52" s="9" t="s">
        <v>313</v>
      </c>
    </row>
    <row r="53" spans="1:19" ht="15" customHeight="1" x14ac:dyDescent="0.3">
      <c r="A53" s="8" t="s">
        <v>317</v>
      </c>
      <c r="B53" s="8" t="s">
        <v>77</v>
      </c>
      <c r="C53" s="8" t="s">
        <v>318</v>
      </c>
      <c r="D53" s="8" t="s">
        <v>319</v>
      </c>
      <c r="E53" s="8" t="s">
        <v>115</v>
      </c>
      <c r="F53" s="8" t="s">
        <v>115</v>
      </c>
      <c r="G53" s="9">
        <v>5</v>
      </c>
      <c r="H53" s="8" t="s">
        <v>299</v>
      </c>
      <c r="I53" s="9"/>
      <c r="J53" s="9" t="b">
        <f>FALSE()</f>
        <v>0</v>
      </c>
      <c r="K53" s="9" t="b">
        <f>TRUE()</f>
        <v>1</v>
      </c>
      <c r="L53" s="8" t="s">
        <v>52</v>
      </c>
      <c r="M53" s="8" t="s">
        <v>59</v>
      </c>
      <c r="N53" s="8" t="s">
        <v>320</v>
      </c>
      <c r="O53" s="8" t="s">
        <v>321</v>
      </c>
      <c r="P53" s="8"/>
      <c r="Q53" s="9" t="b">
        <f>TRUE()</f>
        <v>1</v>
      </c>
      <c r="R53" s="9" t="s">
        <v>318</v>
      </c>
      <c r="S53" s="9" t="s">
        <v>318</v>
      </c>
    </row>
    <row r="54" spans="1:19" ht="15" customHeight="1" x14ac:dyDescent="0.3">
      <c r="A54" s="8" t="s">
        <v>322</v>
      </c>
      <c r="B54" s="8" t="s">
        <v>77</v>
      </c>
      <c r="C54" s="8" t="s">
        <v>318</v>
      </c>
      <c r="D54" s="8" t="s">
        <v>323</v>
      </c>
      <c r="E54" s="8" t="s">
        <v>115</v>
      </c>
      <c r="F54" s="8" t="s">
        <v>115</v>
      </c>
      <c r="G54" s="9">
        <v>5</v>
      </c>
      <c r="H54" s="8" t="s">
        <v>299</v>
      </c>
      <c r="I54" s="9"/>
      <c r="J54" s="9" t="b">
        <f>FALSE()</f>
        <v>0</v>
      </c>
      <c r="K54" s="9" t="b">
        <f>TRUE()</f>
        <v>1</v>
      </c>
      <c r="L54" s="8" t="s">
        <v>58</v>
      </c>
      <c r="M54" s="8" t="s">
        <v>59</v>
      </c>
      <c r="N54" s="8" t="s">
        <v>320</v>
      </c>
      <c r="O54" s="8" t="s">
        <v>321</v>
      </c>
      <c r="P54" s="8"/>
      <c r="Q54" s="9" t="b">
        <f>TRUE()</f>
        <v>1</v>
      </c>
      <c r="R54" s="9" t="s">
        <v>318</v>
      </c>
      <c r="S54" s="9" t="s">
        <v>318</v>
      </c>
    </row>
    <row r="55" spans="1:19" ht="15" customHeight="1" x14ac:dyDescent="0.3">
      <c r="A55" s="8" t="s">
        <v>324</v>
      </c>
      <c r="B55" s="8" t="s">
        <v>77</v>
      </c>
      <c r="C55" s="8" t="s">
        <v>325</v>
      </c>
      <c r="D55" s="8" t="s">
        <v>326</v>
      </c>
      <c r="E55" s="8" t="s">
        <v>115</v>
      </c>
      <c r="F55" s="8" t="s">
        <v>115</v>
      </c>
      <c r="G55" s="9">
        <v>5</v>
      </c>
      <c r="H55" s="8" t="s">
        <v>299</v>
      </c>
      <c r="I55" s="9"/>
      <c r="J55" s="9" t="b">
        <f>FALSE()</f>
        <v>0</v>
      </c>
      <c r="K55" s="9" t="b">
        <f>TRUE()</f>
        <v>1</v>
      </c>
      <c r="L55" s="8" t="s">
        <v>45</v>
      </c>
      <c r="M55" s="8" t="s">
        <v>59</v>
      </c>
      <c r="N55" s="8" t="s">
        <v>327</v>
      </c>
      <c r="O55" s="8" t="s">
        <v>328</v>
      </c>
      <c r="P55" s="8"/>
      <c r="Q55" s="9" t="b">
        <f>TRUE()</f>
        <v>1</v>
      </c>
      <c r="R55" s="9" t="s">
        <v>325</v>
      </c>
      <c r="S55" s="9" t="s">
        <v>325</v>
      </c>
    </row>
  </sheetData>
  <mergeCells count="1">
    <mergeCell ref="A1:O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AS53"/>
  <sheetViews>
    <sheetView zoomScaleNormal="100" workbookViewId="0"/>
  </sheetViews>
  <sheetFormatPr defaultColWidth="8.6640625" defaultRowHeight="14.4" x14ac:dyDescent="0.3"/>
  <cols>
    <col min="1" max="1" width="10" customWidth="1"/>
    <col min="2" max="2" width="18" customWidth="1"/>
    <col min="3" max="3" width="15" customWidth="1"/>
    <col min="4" max="4" width="40" customWidth="1"/>
    <col min="5" max="5" width="14" customWidth="1"/>
    <col min="6" max="6" width="15" customWidth="1"/>
    <col min="7" max="7" width="10" customWidth="1"/>
    <col min="8" max="45" width="18" customWidth="1"/>
  </cols>
  <sheetData>
    <row r="1" spans="1:45" ht="15" customHeight="1" x14ac:dyDescent="0.3">
      <c r="A1" s="35" t="s">
        <v>110</v>
      </c>
      <c r="B1" s="35" t="s">
        <v>95</v>
      </c>
      <c r="C1" s="35" t="s">
        <v>111</v>
      </c>
      <c r="D1" s="35" t="s">
        <v>96</v>
      </c>
      <c r="E1" s="35" t="s">
        <v>93</v>
      </c>
      <c r="F1" s="35" t="s">
        <v>97</v>
      </c>
      <c r="G1" s="35" t="s">
        <v>98</v>
      </c>
      <c r="H1" s="35" t="s">
        <v>329</v>
      </c>
      <c r="I1" s="35" t="s">
        <v>330</v>
      </c>
      <c r="J1" s="35" t="s">
        <v>331</v>
      </c>
      <c r="K1" s="35" t="s">
        <v>332</v>
      </c>
      <c r="L1" s="35" t="s">
        <v>333</v>
      </c>
      <c r="M1" s="35" t="s">
        <v>334</v>
      </c>
      <c r="N1" s="35" t="s">
        <v>335</v>
      </c>
      <c r="O1" s="35" t="s">
        <v>336</v>
      </c>
      <c r="P1" s="35" t="s">
        <v>337</v>
      </c>
      <c r="R1" s="35" t="s">
        <v>338</v>
      </c>
      <c r="S1" s="35" t="s">
        <v>339</v>
      </c>
      <c r="T1" s="35" t="s">
        <v>340</v>
      </c>
      <c r="U1" s="35" t="s">
        <v>341</v>
      </c>
      <c r="V1" s="35" t="s">
        <v>342</v>
      </c>
      <c r="W1" s="35" t="s">
        <v>343</v>
      </c>
      <c r="X1" s="35" t="s">
        <v>344</v>
      </c>
      <c r="Y1" s="35" t="s">
        <v>345</v>
      </c>
      <c r="Z1" s="35" t="s">
        <v>346</v>
      </c>
      <c r="AA1" s="35" t="s">
        <v>347</v>
      </c>
      <c r="AB1" s="35" t="s">
        <v>348</v>
      </c>
      <c r="AC1" s="35" t="s">
        <v>349</v>
      </c>
      <c r="AD1" s="35" t="s">
        <v>350</v>
      </c>
      <c r="AE1" s="35" t="s">
        <v>351</v>
      </c>
      <c r="AF1" s="35" t="s">
        <v>352</v>
      </c>
      <c r="AG1" s="35" t="s">
        <v>353</v>
      </c>
      <c r="AH1" s="35" t="s">
        <v>354</v>
      </c>
      <c r="AI1" s="35" t="s">
        <v>355</v>
      </c>
      <c r="AJ1" s="35" t="s">
        <v>356</v>
      </c>
      <c r="AK1" s="35" t="s">
        <v>357</v>
      </c>
      <c r="AL1" s="35" t="s">
        <v>358</v>
      </c>
      <c r="AM1" s="35" t="s">
        <v>359</v>
      </c>
      <c r="AN1" s="35" t="s">
        <v>360</v>
      </c>
      <c r="AO1" s="35" t="s">
        <v>361</v>
      </c>
      <c r="AP1" s="35" t="s">
        <v>362</v>
      </c>
      <c r="AQ1" s="35" t="s">
        <v>363</v>
      </c>
      <c r="AR1" s="35" t="s">
        <v>364</v>
      </c>
      <c r="AS1" s="35" t="s">
        <v>365</v>
      </c>
    </row>
    <row r="2" spans="1:45" ht="15" customHeight="1" x14ac:dyDescent="0.3">
      <c r="A2" s="36" t="s">
        <v>366</v>
      </c>
      <c r="B2" s="36" t="s">
        <v>131</v>
      </c>
      <c r="C2" s="36" t="s">
        <v>131</v>
      </c>
      <c r="D2" s="36" t="s">
        <v>138</v>
      </c>
      <c r="E2" s="36" t="s">
        <v>137</v>
      </c>
      <c r="F2" s="36" t="s">
        <v>115</v>
      </c>
      <c r="G2" s="36" t="s">
        <v>115</v>
      </c>
      <c r="H2" s="36" t="s">
        <v>367</v>
      </c>
      <c r="I2" s="36" t="s">
        <v>131</v>
      </c>
      <c r="J2" s="36" t="s">
        <v>158</v>
      </c>
      <c r="K2" s="36" t="s">
        <v>158</v>
      </c>
      <c r="L2" s="36" t="s">
        <v>218</v>
      </c>
      <c r="M2" s="36" t="s">
        <v>158</v>
      </c>
      <c r="N2" s="36" t="s">
        <v>158</v>
      </c>
      <c r="O2" s="36" t="s">
        <v>252</v>
      </c>
      <c r="P2" s="36" t="s">
        <v>285</v>
      </c>
      <c r="R2" s="36" t="s">
        <v>138</v>
      </c>
      <c r="S2" s="36" t="s">
        <v>114</v>
      </c>
      <c r="T2" s="36" t="s">
        <v>152</v>
      </c>
      <c r="U2" s="36" t="s">
        <v>159</v>
      </c>
      <c r="V2" s="36" t="s">
        <v>182</v>
      </c>
      <c r="W2" s="36" t="s">
        <v>189</v>
      </c>
      <c r="X2" s="36" t="s">
        <v>200</v>
      </c>
      <c r="Y2" s="36" t="s">
        <v>219</v>
      </c>
      <c r="Z2" s="36" t="s">
        <v>210</v>
      </c>
      <c r="AA2" s="36" t="s">
        <v>215</v>
      </c>
      <c r="AB2" s="36" t="s">
        <v>222</v>
      </c>
      <c r="AC2" s="36" t="s">
        <v>225</v>
      </c>
      <c r="AD2" s="36" t="s">
        <v>233</v>
      </c>
      <c r="AE2" s="36" t="s">
        <v>237</v>
      </c>
      <c r="AF2" s="36" t="s">
        <v>253</v>
      </c>
      <c r="AG2" s="36" t="s">
        <v>243</v>
      </c>
      <c r="AH2" s="36" t="s">
        <v>249</v>
      </c>
      <c r="AI2" s="36" t="s">
        <v>256</v>
      </c>
      <c r="AJ2" s="36" t="s">
        <v>286</v>
      </c>
      <c r="AK2" s="36" t="s">
        <v>267</v>
      </c>
      <c r="AL2" s="36" t="s">
        <v>274</v>
      </c>
      <c r="AM2" s="36" t="s">
        <v>298</v>
      </c>
      <c r="AN2" s="36" t="s">
        <v>326</v>
      </c>
      <c r="AO2" s="36" t="s">
        <v>292</v>
      </c>
      <c r="AP2" s="36" t="s">
        <v>304</v>
      </c>
      <c r="AQ2" s="36" t="s">
        <v>319</v>
      </c>
      <c r="AR2" s="36" t="s">
        <v>261</v>
      </c>
      <c r="AS2" s="36" t="s">
        <v>310</v>
      </c>
    </row>
    <row r="3" spans="1:45" ht="15" customHeight="1" x14ac:dyDescent="0.3">
      <c r="A3" s="36" t="s">
        <v>366</v>
      </c>
      <c r="B3" s="36" t="s">
        <v>131</v>
      </c>
      <c r="C3" s="36" t="s">
        <v>131</v>
      </c>
      <c r="D3" s="36" t="s">
        <v>140</v>
      </c>
      <c r="E3" s="36" t="s">
        <v>139</v>
      </c>
      <c r="F3" s="36" t="s">
        <v>115</v>
      </c>
      <c r="G3" s="36" t="s">
        <v>115</v>
      </c>
      <c r="H3" s="36" t="s">
        <v>368</v>
      </c>
      <c r="I3" s="36" t="s">
        <v>113</v>
      </c>
      <c r="K3" s="36" t="s">
        <v>188</v>
      </c>
      <c r="L3" s="36" t="s">
        <v>209</v>
      </c>
      <c r="O3" s="36" t="s">
        <v>242</v>
      </c>
      <c r="P3" s="36" t="s">
        <v>266</v>
      </c>
      <c r="R3" s="36" t="s">
        <v>140</v>
      </c>
      <c r="T3" s="36" t="s">
        <v>150</v>
      </c>
      <c r="U3" s="36" t="s">
        <v>163</v>
      </c>
      <c r="V3" s="36" t="s">
        <v>177</v>
      </c>
      <c r="W3" s="36" t="s">
        <v>193</v>
      </c>
      <c r="X3" s="36" t="s">
        <v>206</v>
      </c>
      <c r="AC3" s="36" t="s">
        <v>229</v>
      </c>
      <c r="AL3" s="36" t="s">
        <v>279</v>
      </c>
      <c r="AQ3" s="36" t="s">
        <v>323</v>
      </c>
      <c r="AS3" s="36" t="s">
        <v>315</v>
      </c>
    </row>
    <row r="4" spans="1:45" ht="15" customHeight="1" x14ac:dyDescent="0.3">
      <c r="A4" s="36" t="s">
        <v>366</v>
      </c>
      <c r="B4" s="36" t="s">
        <v>131</v>
      </c>
      <c r="C4" s="36" t="s">
        <v>131</v>
      </c>
      <c r="D4" s="36" t="s">
        <v>132</v>
      </c>
      <c r="E4" s="36" t="s">
        <v>130</v>
      </c>
      <c r="F4" s="36" t="s">
        <v>115</v>
      </c>
      <c r="G4" s="36" t="s">
        <v>115</v>
      </c>
      <c r="H4" s="36" t="s">
        <v>369</v>
      </c>
      <c r="I4" s="36" t="s">
        <v>120</v>
      </c>
      <c r="K4" s="36" t="s">
        <v>199</v>
      </c>
      <c r="L4" s="36" t="s">
        <v>214</v>
      </c>
      <c r="O4" s="36" t="s">
        <v>248</v>
      </c>
      <c r="P4" s="36" t="s">
        <v>273</v>
      </c>
      <c r="R4" s="36" t="s">
        <v>132</v>
      </c>
      <c r="T4" s="36" t="s">
        <v>128</v>
      </c>
      <c r="U4" s="36" t="s">
        <v>166</v>
      </c>
      <c r="V4" s="36" t="s">
        <v>185</v>
      </c>
      <c r="W4" s="36" t="s">
        <v>196</v>
      </c>
      <c r="AL4" s="36" t="s">
        <v>283</v>
      </c>
    </row>
    <row r="5" spans="1:45" ht="15" customHeight="1" x14ac:dyDescent="0.3">
      <c r="A5" s="36" t="s">
        <v>366</v>
      </c>
      <c r="B5" s="36" t="s">
        <v>131</v>
      </c>
      <c r="C5" s="36" t="s">
        <v>131</v>
      </c>
      <c r="D5" s="36" t="s">
        <v>146</v>
      </c>
      <c r="E5" s="36" t="s">
        <v>145</v>
      </c>
      <c r="F5" s="36" t="s">
        <v>115</v>
      </c>
      <c r="G5" s="36" t="s">
        <v>115</v>
      </c>
      <c r="H5" s="36" t="s">
        <v>370</v>
      </c>
      <c r="L5" s="36" t="s">
        <v>222</v>
      </c>
      <c r="O5" s="36" t="s">
        <v>255</v>
      </c>
      <c r="P5" s="36" t="s">
        <v>297</v>
      </c>
      <c r="R5" s="36" t="s">
        <v>146</v>
      </c>
      <c r="T5" s="36" t="s">
        <v>144</v>
      </c>
      <c r="U5" s="36" t="s">
        <v>171</v>
      </c>
    </row>
    <row r="6" spans="1:45" ht="15" customHeight="1" x14ac:dyDescent="0.3">
      <c r="A6" s="36" t="s">
        <v>366</v>
      </c>
      <c r="B6" s="36" t="s">
        <v>113</v>
      </c>
      <c r="C6" s="36" t="s">
        <v>113</v>
      </c>
      <c r="D6" s="36" t="s">
        <v>114</v>
      </c>
      <c r="E6" s="36" t="s">
        <v>112</v>
      </c>
      <c r="F6" s="36" t="s">
        <v>115</v>
      </c>
      <c r="G6" s="36" t="s">
        <v>115</v>
      </c>
      <c r="H6" s="36" t="s">
        <v>371</v>
      </c>
      <c r="L6" s="36" t="s">
        <v>224</v>
      </c>
      <c r="P6" s="36" t="s">
        <v>325</v>
      </c>
      <c r="T6" s="36" t="s">
        <v>125</v>
      </c>
      <c r="U6" s="36" t="s">
        <v>174</v>
      </c>
    </row>
    <row r="7" spans="1:45" ht="15" customHeight="1" x14ac:dyDescent="0.3">
      <c r="A7" s="36" t="s">
        <v>366</v>
      </c>
      <c r="B7" s="36" t="s">
        <v>120</v>
      </c>
      <c r="C7" s="36" t="s">
        <v>120</v>
      </c>
      <c r="D7" s="36" t="s">
        <v>152</v>
      </c>
      <c r="E7" s="36" t="s">
        <v>151</v>
      </c>
      <c r="F7" s="36" t="s">
        <v>115</v>
      </c>
      <c r="G7" s="36" t="s">
        <v>115</v>
      </c>
      <c r="H7" s="36" t="s">
        <v>372</v>
      </c>
      <c r="P7" s="36" t="s">
        <v>291</v>
      </c>
      <c r="T7" s="36" t="s">
        <v>155</v>
      </c>
    </row>
    <row r="8" spans="1:45" ht="15" customHeight="1" x14ac:dyDescent="0.3">
      <c r="A8" s="36" t="s">
        <v>366</v>
      </c>
      <c r="B8" s="36" t="s">
        <v>120</v>
      </c>
      <c r="C8" s="36" t="s">
        <v>120</v>
      </c>
      <c r="D8" s="36" t="s">
        <v>150</v>
      </c>
      <c r="E8" s="36" t="s">
        <v>149</v>
      </c>
      <c r="F8" s="36" t="s">
        <v>115</v>
      </c>
      <c r="G8" s="36" t="s">
        <v>115</v>
      </c>
      <c r="H8" s="36" t="s">
        <v>373</v>
      </c>
      <c r="P8" s="36" t="s">
        <v>303</v>
      </c>
      <c r="T8" s="36" t="s">
        <v>121</v>
      </c>
    </row>
    <row r="9" spans="1:45" ht="15" customHeight="1" x14ac:dyDescent="0.3">
      <c r="A9" s="36" t="s">
        <v>366</v>
      </c>
      <c r="B9" s="36" t="s">
        <v>120</v>
      </c>
      <c r="C9" s="36" t="s">
        <v>120</v>
      </c>
      <c r="D9" s="36" t="s">
        <v>128</v>
      </c>
      <c r="E9" s="36" t="s">
        <v>127</v>
      </c>
      <c r="F9" s="36" t="s">
        <v>115</v>
      </c>
      <c r="G9" s="36" t="s">
        <v>115</v>
      </c>
      <c r="H9" s="36" t="s">
        <v>374</v>
      </c>
      <c r="P9" s="36" t="s">
        <v>318</v>
      </c>
      <c r="T9" s="36" t="s">
        <v>135</v>
      </c>
    </row>
    <row r="10" spans="1:45" ht="15" customHeight="1" x14ac:dyDescent="0.3">
      <c r="A10" s="36" t="s">
        <v>366</v>
      </c>
      <c r="B10" s="36" t="s">
        <v>120</v>
      </c>
      <c r="C10" s="36" t="s">
        <v>120</v>
      </c>
      <c r="D10" s="36" t="s">
        <v>144</v>
      </c>
      <c r="E10" s="36" t="s">
        <v>143</v>
      </c>
      <c r="F10" s="36" t="s">
        <v>115</v>
      </c>
      <c r="G10" s="36" t="s">
        <v>115</v>
      </c>
      <c r="H10" s="36" t="s">
        <v>375</v>
      </c>
      <c r="P10" s="36" t="s">
        <v>260</v>
      </c>
    </row>
    <row r="11" spans="1:45" ht="15" customHeight="1" x14ac:dyDescent="0.3">
      <c r="A11" s="36" t="s">
        <v>366</v>
      </c>
      <c r="B11" s="36" t="s">
        <v>120</v>
      </c>
      <c r="C11" s="36" t="s">
        <v>120</v>
      </c>
      <c r="D11" s="36" t="s">
        <v>125</v>
      </c>
      <c r="E11" s="36" t="s">
        <v>124</v>
      </c>
      <c r="F11" s="36" t="s">
        <v>115</v>
      </c>
      <c r="G11" s="36" t="s">
        <v>115</v>
      </c>
      <c r="H11" s="36" t="s">
        <v>376</v>
      </c>
      <c r="P11" s="36" t="s">
        <v>309</v>
      </c>
    </row>
    <row r="12" spans="1:45" ht="15" customHeight="1" x14ac:dyDescent="0.3">
      <c r="A12" s="36" t="s">
        <v>366</v>
      </c>
      <c r="B12" s="36" t="s">
        <v>120</v>
      </c>
      <c r="C12" s="36" t="s">
        <v>120</v>
      </c>
      <c r="D12" s="36" t="s">
        <v>155</v>
      </c>
      <c r="E12" s="36" t="s">
        <v>154</v>
      </c>
      <c r="F12" s="36" t="s">
        <v>115</v>
      </c>
      <c r="G12" s="36" t="s">
        <v>115</v>
      </c>
      <c r="H12" s="36" t="s">
        <v>377</v>
      </c>
    </row>
    <row r="13" spans="1:45" ht="15" customHeight="1" x14ac:dyDescent="0.3">
      <c r="A13" s="36" t="s">
        <v>366</v>
      </c>
      <c r="B13" s="36" t="s">
        <v>120</v>
      </c>
      <c r="C13" s="36" t="s">
        <v>120</v>
      </c>
      <c r="D13" s="36" t="s">
        <v>121</v>
      </c>
      <c r="E13" s="36" t="s">
        <v>119</v>
      </c>
      <c r="F13" s="36" t="s">
        <v>115</v>
      </c>
      <c r="G13" s="36" t="s">
        <v>115</v>
      </c>
      <c r="H13" s="36" t="s">
        <v>378</v>
      </c>
    </row>
    <row r="14" spans="1:45" ht="15" customHeight="1" x14ac:dyDescent="0.3">
      <c r="A14" s="36" t="s">
        <v>366</v>
      </c>
      <c r="B14" s="36" t="s">
        <v>120</v>
      </c>
      <c r="C14" s="36" t="s">
        <v>120</v>
      </c>
      <c r="D14" s="36" t="s">
        <v>135</v>
      </c>
      <c r="E14" s="36" t="s">
        <v>134</v>
      </c>
      <c r="F14" s="36" t="s">
        <v>115</v>
      </c>
      <c r="G14" s="36" t="s">
        <v>115</v>
      </c>
      <c r="H14" s="36" t="s">
        <v>379</v>
      </c>
    </row>
    <row r="15" spans="1:45" ht="15" customHeight="1" x14ac:dyDescent="0.3">
      <c r="A15" s="36" t="s">
        <v>161</v>
      </c>
      <c r="B15" s="36" t="s">
        <v>158</v>
      </c>
      <c r="C15" s="36" t="s">
        <v>158</v>
      </c>
      <c r="D15" s="36" t="s">
        <v>159</v>
      </c>
      <c r="E15" s="36" t="s">
        <v>157</v>
      </c>
      <c r="F15" s="36" t="s">
        <v>41</v>
      </c>
      <c r="G15" s="36" t="s">
        <v>42</v>
      </c>
      <c r="H15" s="36" t="s">
        <v>380</v>
      </c>
    </row>
    <row r="16" spans="1:45" ht="15" customHeight="1" x14ac:dyDescent="0.3">
      <c r="A16" s="36" t="s">
        <v>161</v>
      </c>
      <c r="B16" s="36" t="s">
        <v>158</v>
      </c>
      <c r="C16" s="36" t="s">
        <v>158</v>
      </c>
      <c r="D16" s="36" t="s">
        <v>163</v>
      </c>
      <c r="E16" s="36" t="s">
        <v>162</v>
      </c>
      <c r="F16" s="36" t="s">
        <v>48</v>
      </c>
      <c r="G16" s="36" t="s">
        <v>42</v>
      </c>
      <c r="H16" s="36" t="s">
        <v>381</v>
      </c>
    </row>
    <row r="17" spans="1:8" ht="15" customHeight="1" x14ac:dyDescent="0.3">
      <c r="A17" s="36" t="s">
        <v>161</v>
      </c>
      <c r="B17" s="36" t="s">
        <v>158</v>
      </c>
      <c r="C17" s="36" t="s">
        <v>158</v>
      </c>
      <c r="D17" s="36" t="s">
        <v>166</v>
      </c>
      <c r="E17" s="36" t="s">
        <v>165</v>
      </c>
      <c r="F17" s="36" t="s">
        <v>48</v>
      </c>
      <c r="G17" s="36" t="s">
        <v>49</v>
      </c>
      <c r="H17" s="36" t="s">
        <v>382</v>
      </c>
    </row>
    <row r="18" spans="1:8" ht="15" customHeight="1" x14ac:dyDescent="0.3">
      <c r="A18" s="36" t="s">
        <v>161</v>
      </c>
      <c r="B18" s="36" t="s">
        <v>158</v>
      </c>
      <c r="C18" s="36" t="s">
        <v>158</v>
      </c>
      <c r="D18" s="36" t="s">
        <v>171</v>
      </c>
      <c r="E18" s="36" t="s">
        <v>170</v>
      </c>
      <c r="F18" s="36" t="s">
        <v>55</v>
      </c>
      <c r="G18" s="36" t="s">
        <v>42</v>
      </c>
      <c r="H18" s="36" t="s">
        <v>383</v>
      </c>
    </row>
    <row r="19" spans="1:8" ht="15" customHeight="1" x14ac:dyDescent="0.3">
      <c r="A19" s="36" t="s">
        <v>161</v>
      </c>
      <c r="B19" s="36" t="s">
        <v>158</v>
      </c>
      <c r="C19" s="36" t="s">
        <v>158</v>
      </c>
      <c r="D19" s="36" t="s">
        <v>174</v>
      </c>
      <c r="E19" s="36" t="s">
        <v>173</v>
      </c>
      <c r="F19" s="36" t="s">
        <v>55</v>
      </c>
      <c r="G19" s="36" t="s">
        <v>49</v>
      </c>
      <c r="H19" s="36" t="s">
        <v>384</v>
      </c>
    </row>
    <row r="20" spans="1:8" ht="15" customHeight="1" x14ac:dyDescent="0.3">
      <c r="A20" s="36" t="s">
        <v>385</v>
      </c>
      <c r="B20" s="36" t="s">
        <v>158</v>
      </c>
      <c r="C20" s="36" t="s">
        <v>158</v>
      </c>
      <c r="D20" s="36" t="s">
        <v>182</v>
      </c>
      <c r="E20" s="36" t="s">
        <v>181</v>
      </c>
      <c r="F20" s="36" t="s">
        <v>115</v>
      </c>
      <c r="G20" s="36" t="s">
        <v>115</v>
      </c>
      <c r="H20" s="36" t="s">
        <v>386</v>
      </c>
    </row>
    <row r="21" spans="1:8" ht="15" customHeight="1" x14ac:dyDescent="0.3">
      <c r="A21" s="36" t="s">
        <v>385</v>
      </c>
      <c r="B21" s="36" t="s">
        <v>158</v>
      </c>
      <c r="C21" s="36" t="s">
        <v>158</v>
      </c>
      <c r="D21" s="36" t="s">
        <v>177</v>
      </c>
      <c r="E21" s="36" t="s">
        <v>176</v>
      </c>
      <c r="F21" s="36" t="s">
        <v>115</v>
      </c>
      <c r="G21" s="36" t="s">
        <v>115</v>
      </c>
      <c r="H21" s="36" t="s">
        <v>387</v>
      </c>
    </row>
    <row r="22" spans="1:8" ht="15" customHeight="1" x14ac:dyDescent="0.3">
      <c r="A22" s="36" t="s">
        <v>385</v>
      </c>
      <c r="B22" s="36" t="s">
        <v>158</v>
      </c>
      <c r="C22" s="36" t="s">
        <v>158</v>
      </c>
      <c r="D22" s="36" t="s">
        <v>185</v>
      </c>
      <c r="E22" s="36" t="s">
        <v>184</v>
      </c>
      <c r="F22" s="36" t="s">
        <v>115</v>
      </c>
      <c r="G22" s="36" t="s">
        <v>115</v>
      </c>
      <c r="H22" s="36" t="s">
        <v>388</v>
      </c>
    </row>
    <row r="23" spans="1:8" ht="15" customHeight="1" x14ac:dyDescent="0.3">
      <c r="A23" s="36" t="s">
        <v>385</v>
      </c>
      <c r="B23" s="36" t="s">
        <v>188</v>
      </c>
      <c r="C23" s="36" t="s">
        <v>188</v>
      </c>
      <c r="D23" s="36" t="s">
        <v>189</v>
      </c>
      <c r="E23" s="36" t="s">
        <v>187</v>
      </c>
      <c r="F23" s="36" t="s">
        <v>41</v>
      </c>
      <c r="G23" s="36" t="s">
        <v>42</v>
      </c>
      <c r="H23" s="36" t="s">
        <v>389</v>
      </c>
    </row>
    <row r="24" spans="1:8" ht="15" customHeight="1" x14ac:dyDescent="0.3">
      <c r="A24" s="36" t="s">
        <v>385</v>
      </c>
      <c r="B24" s="36" t="s">
        <v>188</v>
      </c>
      <c r="C24" s="36" t="s">
        <v>188</v>
      </c>
      <c r="D24" s="36" t="s">
        <v>193</v>
      </c>
      <c r="E24" s="36" t="s">
        <v>192</v>
      </c>
      <c r="F24" s="36" t="s">
        <v>48</v>
      </c>
      <c r="G24" s="36" t="s">
        <v>42</v>
      </c>
      <c r="H24" s="36" t="s">
        <v>390</v>
      </c>
    </row>
    <row r="25" spans="1:8" ht="15" customHeight="1" x14ac:dyDescent="0.3">
      <c r="A25" s="36" t="s">
        <v>385</v>
      </c>
      <c r="B25" s="36" t="s">
        <v>188</v>
      </c>
      <c r="C25" s="36" t="s">
        <v>188</v>
      </c>
      <c r="D25" s="36" t="s">
        <v>196</v>
      </c>
      <c r="E25" s="36" t="s">
        <v>195</v>
      </c>
      <c r="F25" s="36" t="s">
        <v>55</v>
      </c>
      <c r="G25" s="36" t="s">
        <v>42</v>
      </c>
      <c r="H25" s="36" t="s">
        <v>391</v>
      </c>
    </row>
    <row r="26" spans="1:8" ht="15" customHeight="1" x14ac:dyDescent="0.3">
      <c r="A26" s="36" t="s">
        <v>385</v>
      </c>
      <c r="B26" s="36" t="s">
        <v>199</v>
      </c>
      <c r="C26" s="36" t="s">
        <v>199</v>
      </c>
      <c r="D26" s="36" t="s">
        <v>200</v>
      </c>
      <c r="E26" s="36" t="s">
        <v>198</v>
      </c>
      <c r="F26" s="36" t="s">
        <v>48</v>
      </c>
      <c r="G26" s="36" t="s">
        <v>49</v>
      </c>
      <c r="H26" s="36" t="s">
        <v>392</v>
      </c>
    </row>
    <row r="27" spans="1:8" ht="15" customHeight="1" x14ac:dyDescent="0.3">
      <c r="A27" s="36" t="s">
        <v>385</v>
      </c>
      <c r="B27" s="36" t="s">
        <v>199</v>
      </c>
      <c r="C27" s="36" t="s">
        <v>199</v>
      </c>
      <c r="D27" s="36" t="s">
        <v>206</v>
      </c>
      <c r="E27" s="36" t="s">
        <v>205</v>
      </c>
      <c r="F27" s="36" t="s">
        <v>55</v>
      </c>
      <c r="G27" s="36" t="s">
        <v>49</v>
      </c>
      <c r="H27" s="36" t="s">
        <v>393</v>
      </c>
    </row>
    <row r="28" spans="1:8" ht="15" customHeight="1" x14ac:dyDescent="0.3">
      <c r="A28" s="36" t="s">
        <v>394</v>
      </c>
      <c r="B28" s="36" t="s">
        <v>218</v>
      </c>
      <c r="C28" s="36" t="s">
        <v>218</v>
      </c>
      <c r="D28" s="36" t="s">
        <v>219</v>
      </c>
      <c r="E28" s="36" t="s">
        <v>217</v>
      </c>
      <c r="F28" s="36" t="s">
        <v>115</v>
      </c>
      <c r="G28" s="36" t="s">
        <v>115</v>
      </c>
      <c r="H28" s="36" t="s">
        <v>395</v>
      </c>
    </row>
    <row r="29" spans="1:8" ht="15" customHeight="1" x14ac:dyDescent="0.3">
      <c r="A29" s="36" t="s">
        <v>394</v>
      </c>
      <c r="B29" s="36" t="s">
        <v>209</v>
      </c>
      <c r="C29" s="36" t="s">
        <v>209</v>
      </c>
      <c r="D29" s="36" t="s">
        <v>210</v>
      </c>
      <c r="E29" s="36" t="s">
        <v>208</v>
      </c>
      <c r="F29" s="36" t="s">
        <v>115</v>
      </c>
      <c r="G29" s="36" t="s">
        <v>115</v>
      </c>
      <c r="H29" s="36" t="s">
        <v>396</v>
      </c>
    </row>
    <row r="30" spans="1:8" ht="15" customHeight="1" x14ac:dyDescent="0.3">
      <c r="A30" s="36" t="s">
        <v>394</v>
      </c>
      <c r="B30" s="36" t="s">
        <v>214</v>
      </c>
      <c r="C30" s="36" t="s">
        <v>214</v>
      </c>
      <c r="D30" s="36" t="s">
        <v>215</v>
      </c>
      <c r="E30" s="36" t="s">
        <v>213</v>
      </c>
      <c r="F30" s="36" t="s">
        <v>115</v>
      </c>
      <c r="G30" s="36" t="s">
        <v>115</v>
      </c>
      <c r="H30" s="36" t="s">
        <v>397</v>
      </c>
    </row>
    <row r="31" spans="1:8" ht="15" customHeight="1" x14ac:dyDescent="0.3">
      <c r="A31" s="36" t="s">
        <v>394</v>
      </c>
      <c r="B31" s="36" t="s">
        <v>222</v>
      </c>
      <c r="C31" s="36" t="s">
        <v>222</v>
      </c>
      <c r="D31" s="36" t="s">
        <v>222</v>
      </c>
      <c r="E31" s="36" t="s">
        <v>221</v>
      </c>
      <c r="F31" s="36" t="s">
        <v>115</v>
      </c>
      <c r="G31" s="36" t="s">
        <v>115</v>
      </c>
      <c r="H31" s="36" t="s">
        <v>398</v>
      </c>
    </row>
    <row r="32" spans="1:8" ht="15" customHeight="1" x14ac:dyDescent="0.3">
      <c r="A32" s="36" t="s">
        <v>394</v>
      </c>
      <c r="B32" s="36" t="s">
        <v>224</v>
      </c>
      <c r="C32" s="36" t="s">
        <v>224</v>
      </c>
      <c r="D32" s="36" t="s">
        <v>225</v>
      </c>
      <c r="E32" s="36" t="s">
        <v>223</v>
      </c>
      <c r="F32" s="36" t="s">
        <v>115</v>
      </c>
      <c r="G32" s="36" t="s">
        <v>115</v>
      </c>
      <c r="H32" s="36" t="s">
        <v>399</v>
      </c>
    </row>
    <row r="33" spans="1:8" ht="15" customHeight="1" x14ac:dyDescent="0.3">
      <c r="A33" s="36" t="s">
        <v>394</v>
      </c>
      <c r="B33" s="36" t="s">
        <v>224</v>
      </c>
      <c r="C33" s="36" t="s">
        <v>224</v>
      </c>
      <c r="D33" s="36" t="s">
        <v>229</v>
      </c>
      <c r="E33" s="36" t="s">
        <v>228</v>
      </c>
      <c r="F33" s="36" t="s">
        <v>115</v>
      </c>
      <c r="G33" s="36" t="s">
        <v>115</v>
      </c>
      <c r="H33" s="36" t="s">
        <v>400</v>
      </c>
    </row>
    <row r="34" spans="1:8" ht="15" customHeight="1" x14ac:dyDescent="0.3">
      <c r="A34" s="36" t="s">
        <v>401</v>
      </c>
      <c r="B34" s="36" t="s">
        <v>158</v>
      </c>
      <c r="C34" s="36" t="s">
        <v>158</v>
      </c>
      <c r="D34" s="36" t="s">
        <v>233</v>
      </c>
      <c r="E34" s="36" t="s">
        <v>232</v>
      </c>
      <c r="F34" s="36" t="s">
        <v>115</v>
      </c>
      <c r="G34" s="36" t="s">
        <v>115</v>
      </c>
      <c r="H34" s="36" t="s">
        <v>402</v>
      </c>
    </row>
    <row r="35" spans="1:8" ht="15" customHeight="1" x14ac:dyDescent="0.3">
      <c r="A35" s="36" t="s">
        <v>403</v>
      </c>
      <c r="B35" s="36" t="s">
        <v>158</v>
      </c>
      <c r="C35" s="36" t="s">
        <v>158</v>
      </c>
      <c r="D35" s="36" t="s">
        <v>237</v>
      </c>
      <c r="E35" s="36" t="s">
        <v>236</v>
      </c>
      <c r="F35" s="36" t="s">
        <v>115</v>
      </c>
      <c r="G35" s="36" t="s">
        <v>115</v>
      </c>
      <c r="H35" s="36" t="s">
        <v>404</v>
      </c>
    </row>
    <row r="36" spans="1:8" ht="15" customHeight="1" x14ac:dyDescent="0.3">
      <c r="A36" s="36" t="s">
        <v>405</v>
      </c>
      <c r="B36" s="36" t="s">
        <v>252</v>
      </c>
      <c r="C36" s="36" t="s">
        <v>252</v>
      </c>
      <c r="D36" s="36" t="s">
        <v>253</v>
      </c>
      <c r="E36" s="36" t="s">
        <v>251</v>
      </c>
      <c r="F36" s="36" t="s">
        <v>115</v>
      </c>
      <c r="G36" s="36" t="s">
        <v>115</v>
      </c>
      <c r="H36" s="36" t="s">
        <v>406</v>
      </c>
    </row>
    <row r="37" spans="1:8" ht="15" customHeight="1" x14ac:dyDescent="0.3">
      <c r="A37" s="36" t="s">
        <v>405</v>
      </c>
      <c r="B37" s="36" t="s">
        <v>242</v>
      </c>
      <c r="C37" s="36" t="s">
        <v>242</v>
      </c>
      <c r="D37" s="36" t="s">
        <v>243</v>
      </c>
      <c r="E37" s="36" t="s">
        <v>241</v>
      </c>
      <c r="F37" s="36" t="s">
        <v>115</v>
      </c>
      <c r="G37" s="36" t="s">
        <v>115</v>
      </c>
      <c r="H37" s="36" t="s">
        <v>407</v>
      </c>
    </row>
    <row r="38" spans="1:8" ht="15" customHeight="1" x14ac:dyDescent="0.3">
      <c r="A38" s="36" t="s">
        <v>405</v>
      </c>
      <c r="B38" s="36" t="s">
        <v>248</v>
      </c>
      <c r="C38" s="36" t="s">
        <v>248</v>
      </c>
      <c r="D38" s="36" t="s">
        <v>249</v>
      </c>
      <c r="E38" s="36" t="s">
        <v>247</v>
      </c>
      <c r="F38" s="36" t="s">
        <v>115</v>
      </c>
      <c r="G38" s="36" t="s">
        <v>115</v>
      </c>
      <c r="H38" s="36" t="s">
        <v>408</v>
      </c>
    </row>
    <row r="39" spans="1:8" ht="15" customHeight="1" x14ac:dyDescent="0.3">
      <c r="A39" s="36" t="s">
        <v>405</v>
      </c>
      <c r="B39" s="36" t="s">
        <v>255</v>
      </c>
      <c r="C39" s="36" t="s">
        <v>255</v>
      </c>
      <c r="D39" s="36" t="s">
        <v>256</v>
      </c>
      <c r="E39" s="36" t="s">
        <v>254</v>
      </c>
      <c r="F39" s="36" t="s">
        <v>115</v>
      </c>
      <c r="G39" s="36" t="s">
        <v>115</v>
      </c>
      <c r="H39" s="36" t="s">
        <v>409</v>
      </c>
    </row>
    <row r="40" spans="1:8" ht="15" customHeight="1" x14ac:dyDescent="0.3">
      <c r="A40" s="36" t="s">
        <v>264</v>
      </c>
      <c r="B40" s="36" t="s">
        <v>285</v>
      </c>
      <c r="C40" s="36" t="s">
        <v>285</v>
      </c>
      <c r="D40" s="36" t="s">
        <v>286</v>
      </c>
      <c r="E40" s="36" t="s">
        <v>284</v>
      </c>
      <c r="F40" s="36" t="s">
        <v>115</v>
      </c>
      <c r="G40" s="36" t="s">
        <v>115</v>
      </c>
      <c r="H40" s="36" t="s">
        <v>410</v>
      </c>
    </row>
    <row r="41" spans="1:8" ht="15" customHeight="1" x14ac:dyDescent="0.3">
      <c r="A41" s="36" t="s">
        <v>264</v>
      </c>
      <c r="B41" s="36" t="s">
        <v>266</v>
      </c>
      <c r="C41" s="36" t="s">
        <v>266</v>
      </c>
      <c r="D41" s="36" t="s">
        <v>267</v>
      </c>
      <c r="E41" s="36" t="s">
        <v>265</v>
      </c>
      <c r="F41" s="36" t="s">
        <v>115</v>
      </c>
      <c r="G41" s="36" t="s">
        <v>115</v>
      </c>
      <c r="H41" s="36" t="s">
        <v>411</v>
      </c>
    </row>
    <row r="42" spans="1:8" ht="15" customHeight="1" x14ac:dyDescent="0.3">
      <c r="A42" s="36" t="s">
        <v>264</v>
      </c>
      <c r="B42" s="36" t="s">
        <v>273</v>
      </c>
      <c r="C42" s="36" t="s">
        <v>273</v>
      </c>
      <c r="D42" s="36" t="s">
        <v>274</v>
      </c>
      <c r="E42" s="36" t="s">
        <v>272</v>
      </c>
      <c r="F42" s="36" t="s">
        <v>41</v>
      </c>
      <c r="G42" s="36" t="s">
        <v>115</v>
      </c>
      <c r="H42" s="36" t="s">
        <v>412</v>
      </c>
    </row>
    <row r="43" spans="1:8" ht="15" customHeight="1" x14ac:dyDescent="0.3">
      <c r="A43" s="36" t="s">
        <v>264</v>
      </c>
      <c r="B43" s="36" t="s">
        <v>273</v>
      </c>
      <c r="C43" s="36" t="s">
        <v>273</v>
      </c>
      <c r="D43" s="36" t="s">
        <v>279</v>
      </c>
      <c r="E43" s="36" t="s">
        <v>278</v>
      </c>
      <c r="F43" s="36" t="s">
        <v>48</v>
      </c>
      <c r="G43" s="36" t="s">
        <v>115</v>
      </c>
      <c r="H43" s="36" t="s">
        <v>413</v>
      </c>
    </row>
    <row r="44" spans="1:8" ht="15" customHeight="1" x14ac:dyDescent="0.3">
      <c r="A44" s="36" t="s">
        <v>264</v>
      </c>
      <c r="B44" s="36" t="s">
        <v>273</v>
      </c>
      <c r="C44" s="36" t="s">
        <v>273</v>
      </c>
      <c r="D44" s="36" t="s">
        <v>283</v>
      </c>
      <c r="E44" s="36" t="s">
        <v>282</v>
      </c>
      <c r="F44" s="36" t="s">
        <v>55</v>
      </c>
      <c r="G44" s="36" t="s">
        <v>115</v>
      </c>
      <c r="H44" s="36" t="s">
        <v>414</v>
      </c>
    </row>
    <row r="45" spans="1:8" ht="15" customHeight="1" x14ac:dyDescent="0.3">
      <c r="A45" s="36" t="s">
        <v>264</v>
      </c>
      <c r="B45" s="36" t="s">
        <v>297</v>
      </c>
      <c r="C45" s="36" t="s">
        <v>297</v>
      </c>
      <c r="D45" s="36" t="s">
        <v>298</v>
      </c>
      <c r="E45" s="36" t="s">
        <v>296</v>
      </c>
      <c r="F45" s="36" t="s">
        <v>115</v>
      </c>
      <c r="G45" s="36" t="s">
        <v>115</v>
      </c>
      <c r="H45" s="36" t="s">
        <v>415</v>
      </c>
    </row>
    <row r="46" spans="1:8" ht="15" customHeight="1" x14ac:dyDescent="0.3">
      <c r="A46" s="36" t="s">
        <v>264</v>
      </c>
      <c r="B46" s="36" t="s">
        <v>325</v>
      </c>
      <c r="C46" s="36" t="s">
        <v>325</v>
      </c>
      <c r="D46" s="36" t="s">
        <v>326</v>
      </c>
      <c r="E46" s="36" t="s">
        <v>324</v>
      </c>
      <c r="F46" s="36" t="s">
        <v>115</v>
      </c>
      <c r="G46" s="36" t="s">
        <v>115</v>
      </c>
      <c r="H46" s="36" t="s">
        <v>416</v>
      </c>
    </row>
    <row r="47" spans="1:8" ht="15" customHeight="1" x14ac:dyDescent="0.3">
      <c r="A47" s="36" t="s">
        <v>264</v>
      </c>
      <c r="B47" s="36" t="s">
        <v>291</v>
      </c>
      <c r="C47" s="36" t="s">
        <v>291</v>
      </c>
      <c r="D47" s="36" t="s">
        <v>292</v>
      </c>
      <c r="E47" s="36" t="s">
        <v>290</v>
      </c>
      <c r="F47" s="36" t="s">
        <v>115</v>
      </c>
      <c r="G47" s="36" t="s">
        <v>115</v>
      </c>
      <c r="H47" s="36" t="s">
        <v>417</v>
      </c>
    </row>
    <row r="48" spans="1:8" ht="15" customHeight="1" x14ac:dyDescent="0.3">
      <c r="A48" s="36" t="s">
        <v>264</v>
      </c>
      <c r="B48" s="36" t="s">
        <v>303</v>
      </c>
      <c r="C48" s="36" t="s">
        <v>303</v>
      </c>
      <c r="D48" s="36" t="s">
        <v>304</v>
      </c>
      <c r="E48" s="36" t="s">
        <v>302</v>
      </c>
      <c r="F48" s="36" t="s">
        <v>115</v>
      </c>
      <c r="G48" s="36" t="s">
        <v>115</v>
      </c>
      <c r="H48" s="36" t="s">
        <v>418</v>
      </c>
    </row>
    <row r="49" spans="1:8" ht="15" customHeight="1" x14ac:dyDescent="0.3">
      <c r="A49" s="36" t="s">
        <v>264</v>
      </c>
      <c r="B49" s="36" t="s">
        <v>318</v>
      </c>
      <c r="C49" s="36" t="s">
        <v>318</v>
      </c>
      <c r="D49" s="36" t="s">
        <v>319</v>
      </c>
      <c r="E49" s="36" t="s">
        <v>317</v>
      </c>
      <c r="F49" s="36" t="s">
        <v>115</v>
      </c>
      <c r="G49" s="36" t="s">
        <v>115</v>
      </c>
      <c r="H49" s="36" t="s">
        <v>419</v>
      </c>
    </row>
    <row r="50" spans="1:8" ht="15" customHeight="1" x14ac:dyDescent="0.3">
      <c r="A50" s="36" t="s">
        <v>264</v>
      </c>
      <c r="B50" s="36" t="s">
        <v>318</v>
      </c>
      <c r="C50" s="36" t="s">
        <v>318</v>
      </c>
      <c r="D50" s="36" t="s">
        <v>323</v>
      </c>
      <c r="E50" s="36" t="s">
        <v>322</v>
      </c>
      <c r="F50" s="36" t="s">
        <v>115</v>
      </c>
      <c r="G50" s="36" t="s">
        <v>115</v>
      </c>
      <c r="H50" s="36" t="s">
        <v>420</v>
      </c>
    </row>
    <row r="51" spans="1:8" ht="15" customHeight="1" x14ac:dyDescent="0.3">
      <c r="A51" s="36" t="s">
        <v>264</v>
      </c>
      <c r="B51" s="36" t="s">
        <v>260</v>
      </c>
      <c r="C51" s="36" t="s">
        <v>260</v>
      </c>
      <c r="D51" s="36" t="s">
        <v>261</v>
      </c>
      <c r="E51" s="36" t="s">
        <v>259</v>
      </c>
      <c r="F51" s="36" t="s">
        <v>115</v>
      </c>
      <c r="G51" s="36" t="s">
        <v>115</v>
      </c>
      <c r="H51" s="36" t="s">
        <v>421</v>
      </c>
    </row>
    <row r="52" spans="1:8" ht="15" customHeight="1" x14ac:dyDescent="0.3">
      <c r="A52" s="36" t="s">
        <v>264</v>
      </c>
      <c r="B52" s="36" t="s">
        <v>309</v>
      </c>
      <c r="C52" s="36" t="s">
        <v>309</v>
      </c>
      <c r="D52" s="36" t="s">
        <v>310</v>
      </c>
      <c r="E52" s="36" t="s">
        <v>308</v>
      </c>
      <c r="F52" s="36" t="s">
        <v>48</v>
      </c>
      <c r="G52" s="36" t="s">
        <v>49</v>
      </c>
      <c r="H52" s="36" t="s">
        <v>422</v>
      </c>
    </row>
    <row r="53" spans="1:8" ht="15" customHeight="1" x14ac:dyDescent="0.3">
      <c r="A53" s="36" t="s">
        <v>264</v>
      </c>
      <c r="B53" s="36" t="s">
        <v>309</v>
      </c>
      <c r="C53" s="36" t="s">
        <v>309</v>
      </c>
      <c r="D53" s="36" t="s">
        <v>315</v>
      </c>
      <c r="E53" s="36" t="s">
        <v>314</v>
      </c>
      <c r="F53" s="36" t="s">
        <v>55</v>
      </c>
      <c r="G53" s="36" t="s">
        <v>49</v>
      </c>
      <c r="H53" s="36" t="s">
        <v>423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G75"/>
  <sheetViews>
    <sheetView showGridLines="0" zoomScaleNormal="100" workbookViewId="0">
      <pane ySplit="3" topLeftCell="A4" activePane="bottomLeft" state="frozen"/>
      <selection pane="bottomLeft"/>
    </sheetView>
  </sheetViews>
  <sheetFormatPr defaultColWidth="8.6640625" defaultRowHeight="14.4" x14ac:dyDescent="0.3"/>
  <cols>
    <col min="1" max="1" width="22" customWidth="1"/>
    <col min="2" max="2" width="17" customWidth="1"/>
    <col min="3" max="3" width="10" customWidth="1"/>
    <col min="4" max="4" width="15" customWidth="1"/>
    <col min="5" max="5" width="18" customWidth="1"/>
    <col min="6" max="7" width="40" customWidth="1"/>
  </cols>
  <sheetData>
    <row r="1" spans="1:7" ht="25.5" customHeight="1" x14ac:dyDescent="0.3">
      <c r="A1" s="63" t="s">
        <v>424</v>
      </c>
      <c r="B1" s="49"/>
      <c r="C1" s="49"/>
      <c r="D1" s="49"/>
      <c r="E1" s="49"/>
      <c r="F1" s="49"/>
    </row>
    <row r="3" spans="1:7" ht="27.75" customHeight="1" x14ac:dyDescent="0.3">
      <c r="A3" s="7" t="s">
        <v>100</v>
      </c>
      <c r="B3" s="7" t="s">
        <v>97</v>
      </c>
      <c r="C3" s="7" t="s">
        <v>98</v>
      </c>
      <c r="D3" s="7" t="s">
        <v>425</v>
      </c>
      <c r="E3" s="7" t="s">
        <v>426</v>
      </c>
      <c r="F3" s="7" t="s">
        <v>107</v>
      </c>
      <c r="G3" s="7" t="s">
        <v>427</v>
      </c>
    </row>
    <row r="4" spans="1:7" ht="15" customHeight="1" x14ac:dyDescent="0.3">
      <c r="A4" s="10" t="s">
        <v>428</v>
      </c>
      <c r="B4" s="10" t="s">
        <v>41</v>
      </c>
      <c r="C4" s="10" t="s">
        <v>42</v>
      </c>
      <c r="D4" s="11">
        <v>-24</v>
      </c>
      <c r="E4" s="12">
        <f t="shared" ref="E4:E35" si="0">IF(D4="","",D4*5)</f>
        <v>-120</v>
      </c>
      <c r="F4" s="13" t="s">
        <v>429</v>
      </c>
      <c r="G4" s="14" t="str">
        <f t="shared" ref="G4:G35" si="1">A4&amp;"|"&amp;B4&amp;"|"&amp;C4</f>
        <v>Init_Einde|Klantgedreven|NOidK</v>
      </c>
    </row>
    <row r="5" spans="1:7" ht="15" customHeight="1" x14ac:dyDescent="0.3">
      <c r="A5" s="10" t="s">
        <v>428</v>
      </c>
      <c r="B5" s="10" t="s">
        <v>41</v>
      </c>
      <c r="C5" s="10" t="s">
        <v>49</v>
      </c>
      <c r="D5" s="11">
        <v>-24</v>
      </c>
      <c r="E5" s="12">
        <f t="shared" si="0"/>
        <v>-120</v>
      </c>
      <c r="F5" s="13" t="s">
        <v>429</v>
      </c>
      <c r="G5" s="14" t="str">
        <f t="shared" si="1"/>
        <v>Init_Einde|Klantgedreven|OidK</v>
      </c>
    </row>
    <row r="6" spans="1:7" ht="15" customHeight="1" x14ac:dyDescent="0.3">
      <c r="A6" s="10" t="s">
        <v>428</v>
      </c>
      <c r="B6" s="10" t="s">
        <v>48</v>
      </c>
      <c r="C6" s="10" t="s">
        <v>42</v>
      </c>
      <c r="D6" s="11">
        <v>-41</v>
      </c>
      <c r="E6" s="12">
        <f t="shared" si="0"/>
        <v>-205</v>
      </c>
      <c r="F6" s="13" t="s">
        <v>430</v>
      </c>
      <c r="G6" s="14" t="str">
        <f t="shared" si="1"/>
        <v>Init_Einde|Netgedreven|NOidK</v>
      </c>
    </row>
    <row r="7" spans="1:7" ht="15" customHeight="1" x14ac:dyDescent="0.3">
      <c r="A7" s="10" t="s">
        <v>428</v>
      </c>
      <c r="B7" s="10" t="s">
        <v>48</v>
      </c>
      <c r="C7" s="10" t="s">
        <v>49</v>
      </c>
      <c r="D7" s="11">
        <v>-41</v>
      </c>
      <c r="E7" s="12">
        <f t="shared" si="0"/>
        <v>-205</v>
      </c>
      <c r="F7" s="13" t="s">
        <v>430</v>
      </c>
      <c r="G7" s="14" t="str">
        <f t="shared" si="1"/>
        <v>Init_Einde|Netgedreven|OidK</v>
      </c>
    </row>
    <row r="8" spans="1:7" ht="15" customHeight="1" x14ac:dyDescent="0.3">
      <c r="A8" s="10" t="s">
        <v>428</v>
      </c>
      <c r="B8" s="10" t="s">
        <v>55</v>
      </c>
      <c r="C8" s="10" t="s">
        <v>42</v>
      </c>
      <c r="D8" s="11">
        <v>-33</v>
      </c>
      <c r="E8" s="12">
        <f t="shared" si="0"/>
        <v>-165</v>
      </c>
      <c r="F8" s="13" t="s">
        <v>431</v>
      </c>
      <c r="G8" s="14" t="str">
        <f t="shared" si="1"/>
        <v>Init_Einde|Reconstructies|NOidK</v>
      </c>
    </row>
    <row r="9" spans="1:7" ht="15" customHeight="1" x14ac:dyDescent="0.3">
      <c r="A9" s="10" t="s">
        <v>428</v>
      </c>
      <c r="B9" s="10" t="s">
        <v>55</v>
      </c>
      <c r="C9" s="10" t="s">
        <v>49</v>
      </c>
      <c r="D9" s="11">
        <v>-33</v>
      </c>
      <c r="E9" s="12">
        <f t="shared" si="0"/>
        <v>-165</v>
      </c>
      <c r="F9" s="13" t="s">
        <v>431</v>
      </c>
      <c r="G9" s="14" t="str">
        <f t="shared" si="1"/>
        <v>Init_Einde|Reconstructies|OidK</v>
      </c>
    </row>
    <row r="10" spans="1:7" ht="15" customHeight="1" x14ac:dyDescent="0.3">
      <c r="A10" s="10" t="s">
        <v>167</v>
      </c>
      <c r="B10" s="10" t="s">
        <v>41</v>
      </c>
      <c r="C10" s="10" t="s">
        <v>42</v>
      </c>
      <c r="D10" s="11"/>
      <c r="E10" s="12" t="str">
        <f t="shared" si="0"/>
        <v/>
      </c>
      <c r="F10" s="13" t="s">
        <v>432</v>
      </c>
      <c r="G10" s="14" t="str">
        <f t="shared" si="1"/>
        <v>Warme_Overdracht|Klantgedreven|NOidK</v>
      </c>
    </row>
    <row r="11" spans="1:7" ht="15" customHeight="1" x14ac:dyDescent="0.3">
      <c r="A11" s="10" t="s">
        <v>167</v>
      </c>
      <c r="B11" s="10" t="s">
        <v>41</v>
      </c>
      <c r="C11" s="10" t="s">
        <v>49</v>
      </c>
      <c r="D11" s="11"/>
      <c r="E11" s="12" t="str">
        <f t="shared" si="0"/>
        <v/>
      </c>
      <c r="F11" s="13" t="s">
        <v>433</v>
      </c>
      <c r="G11" s="14" t="str">
        <f t="shared" si="1"/>
        <v>Warme_Overdracht|Klantgedreven|OidK</v>
      </c>
    </row>
    <row r="12" spans="1:7" ht="15" customHeight="1" x14ac:dyDescent="0.3">
      <c r="A12" s="10" t="s">
        <v>167</v>
      </c>
      <c r="B12" s="10" t="s">
        <v>48</v>
      </c>
      <c r="C12" s="10" t="s">
        <v>42</v>
      </c>
      <c r="D12" s="11"/>
      <c r="E12" s="12" t="str">
        <f t="shared" si="0"/>
        <v/>
      </c>
      <c r="F12" s="13" t="s">
        <v>432</v>
      </c>
      <c r="G12" s="14" t="str">
        <f t="shared" si="1"/>
        <v>Warme_Overdracht|Netgedreven|NOidK</v>
      </c>
    </row>
    <row r="13" spans="1:7" ht="15" customHeight="1" x14ac:dyDescent="0.3">
      <c r="A13" s="10" t="s">
        <v>167</v>
      </c>
      <c r="B13" s="10" t="s">
        <v>48</v>
      </c>
      <c r="C13" s="10" t="s">
        <v>49</v>
      </c>
      <c r="D13" s="11">
        <v>-37</v>
      </c>
      <c r="E13" s="12">
        <f t="shared" si="0"/>
        <v>-185</v>
      </c>
      <c r="F13" s="13" t="s">
        <v>434</v>
      </c>
      <c r="G13" s="14" t="str">
        <f t="shared" si="1"/>
        <v>Warme_Overdracht|Netgedreven|OidK</v>
      </c>
    </row>
    <row r="14" spans="1:7" ht="15" customHeight="1" x14ac:dyDescent="0.3">
      <c r="A14" s="10" t="s">
        <v>167</v>
      </c>
      <c r="B14" s="10" t="s">
        <v>55</v>
      </c>
      <c r="C14" s="10" t="s">
        <v>42</v>
      </c>
      <c r="D14" s="11"/>
      <c r="E14" s="12" t="str">
        <f t="shared" si="0"/>
        <v/>
      </c>
      <c r="F14" s="13" t="s">
        <v>432</v>
      </c>
      <c r="G14" s="14" t="str">
        <f t="shared" si="1"/>
        <v>Warme_Overdracht|Reconstructies|NOidK</v>
      </c>
    </row>
    <row r="15" spans="1:7" ht="15" customHeight="1" x14ac:dyDescent="0.3">
      <c r="A15" s="10" t="s">
        <v>167</v>
      </c>
      <c r="B15" s="10" t="s">
        <v>55</v>
      </c>
      <c r="C15" s="10" t="s">
        <v>49</v>
      </c>
      <c r="D15" s="11">
        <v>-29</v>
      </c>
      <c r="E15" s="12">
        <f t="shared" si="0"/>
        <v>-145</v>
      </c>
      <c r="F15" s="13" t="s">
        <v>435</v>
      </c>
      <c r="G15" s="14" t="str">
        <f t="shared" si="1"/>
        <v>Warme_Overdracht|Reconstructies|OidK</v>
      </c>
    </row>
    <row r="16" spans="1:7" ht="15" customHeight="1" x14ac:dyDescent="0.3">
      <c r="A16" s="10" t="s">
        <v>116</v>
      </c>
      <c r="B16" s="10" t="s">
        <v>41</v>
      </c>
      <c r="C16" s="10" t="s">
        <v>42</v>
      </c>
      <c r="D16" s="11">
        <v>-18</v>
      </c>
      <c r="E16" s="12">
        <f t="shared" si="0"/>
        <v>-90</v>
      </c>
      <c r="F16" s="13" t="s">
        <v>436</v>
      </c>
      <c r="G16" s="14" t="str">
        <f t="shared" si="1"/>
        <v>VO_Einde|Klantgedreven|NOidK</v>
      </c>
    </row>
    <row r="17" spans="1:7" ht="15" customHeight="1" x14ac:dyDescent="0.3">
      <c r="A17" s="10" t="s">
        <v>116</v>
      </c>
      <c r="B17" s="10" t="s">
        <v>41</v>
      </c>
      <c r="C17" s="10" t="s">
        <v>49</v>
      </c>
      <c r="D17" s="11">
        <v>-18</v>
      </c>
      <c r="E17" s="12">
        <f t="shared" si="0"/>
        <v>-90</v>
      </c>
      <c r="F17" s="13" t="s">
        <v>437</v>
      </c>
      <c r="G17" s="14" t="str">
        <f t="shared" si="1"/>
        <v>VO_Einde|Klantgedreven|OidK</v>
      </c>
    </row>
    <row r="18" spans="1:7" ht="15" customHeight="1" x14ac:dyDescent="0.3">
      <c r="A18" s="10" t="s">
        <v>116</v>
      </c>
      <c r="B18" s="10" t="s">
        <v>48</v>
      </c>
      <c r="C18" s="10" t="s">
        <v>42</v>
      </c>
      <c r="D18" s="11">
        <v>-20</v>
      </c>
      <c r="E18" s="12">
        <f t="shared" si="0"/>
        <v>-100</v>
      </c>
      <c r="F18" s="13" t="s">
        <v>438</v>
      </c>
      <c r="G18" s="14" t="str">
        <f t="shared" si="1"/>
        <v>VO_Einde|Netgedreven|NOidK</v>
      </c>
    </row>
    <row r="19" spans="1:7" ht="15" customHeight="1" x14ac:dyDescent="0.3">
      <c r="A19" s="10" t="s">
        <v>116</v>
      </c>
      <c r="B19" s="10" t="s">
        <v>48</v>
      </c>
      <c r="C19" s="10" t="s">
        <v>49</v>
      </c>
      <c r="D19" s="11">
        <v>-18</v>
      </c>
      <c r="E19" s="12">
        <f t="shared" si="0"/>
        <v>-90</v>
      </c>
      <c r="F19" s="13" t="s">
        <v>439</v>
      </c>
      <c r="G19" s="14" t="str">
        <f t="shared" si="1"/>
        <v>VO_Einde|Netgedreven|OidK</v>
      </c>
    </row>
    <row r="20" spans="1:7" ht="15" customHeight="1" x14ac:dyDescent="0.3">
      <c r="A20" s="10" t="s">
        <v>116</v>
      </c>
      <c r="B20" s="10" t="s">
        <v>55</v>
      </c>
      <c r="C20" s="10" t="s">
        <v>42</v>
      </c>
      <c r="D20" s="11">
        <v>-20</v>
      </c>
      <c r="E20" s="12">
        <f t="shared" si="0"/>
        <v>-100</v>
      </c>
      <c r="F20" s="13" t="s">
        <v>440</v>
      </c>
      <c r="G20" s="14" t="str">
        <f t="shared" si="1"/>
        <v>VO_Einde|Reconstructies|NOidK</v>
      </c>
    </row>
    <row r="21" spans="1:7" ht="15" customHeight="1" x14ac:dyDescent="0.3">
      <c r="A21" s="10" t="s">
        <v>116</v>
      </c>
      <c r="B21" s="10" t="s">
        <v>55</v>
      </c>
      <c r="C21" s="10" t="s">
        <v>49</v>
      </c>
      <c r="D21" s="11">
        <v>-18</v>
      </c>
      <c r="E21" s="12">
        <f t="shared" si="0"/>
        <v>-90</v>
      </c>
      <c r="F21" s="13" t="s">
        <v>441</v>
      </c>
      <c r="G21" s="14" t="str">
        <f t="shared" si="1"/>
        <v>VO_Einde|Reconstructies|OidK</v>
      </c>
    </row>
    <row r="22" spans="1:7" ht="15" customHeight="1" x14ac:dyDescent="0.3">
      <c r="A22" s="10" t="s">
        <v>178</v>
      </c>
      <c r="B22" s="10" t="s">
        <v>41</v>
      </c>
      <c r="C22" s="10" t="s">
        <v>42</v>
      </c>
      <c r="D22" s="11">
        <v>-20</v>
      </c>
      <c r="E22" s="12">
        <f t="shared" si="0"/>
        <v>-100</v>
      </c>
      <c r="F22" s="13" t="s">
        <v>442</v>
      </c>
      <c r="G22" s="14" t="str">
        <f t="shared" si="1"/>
        <v>Proefsleuven_Einde|Klantgedreven|NOidK</v>
      </c>
    </row>
    <row r="23" spans="1:7" ht="15" customHeight="1" x14ac:dyDescent="0.3">
      <c r="A23" s="10" t="s">
        <v>178</v>
      </c>
      <c r="B23" s="10" t="s">
        <v>41</v>
      </c>
      <c r="C23" s="10" t="s">
        <v>49</v>
      </c>
      <c r="D23" s="11">
        <v>-20</v>
      </c>
      <c r="E23" s="12">
        <f t="shared" si="0"/>
        <v>-100</v>
      </c>
      <c r="F23" s="13" t="s">
        <v>443</v>
      </c>
      <c r="G23" s="14" t="str">
        <f t="shared" si="1"/>
        <v>Proefsleuven_Einde|Klantgedreven|OidK</v>
      </c>
    </row>
    <row r="24" spans="1:7" ht="15" customHeight="1" x14ac:dyDescent="0.3">
      <c r="A24" s="10" t="s">
        <v>178</v>
      </c>
      <c r="B24" s="10" t="s">
        <v>48</v>
      </c>
      <c r="C24" s="10" t="s">
        <v>42</v>
      </c>
      <c r="D24" s="11">
        <v>-20</v>
      </c>
      <c r="E24" s="12">
        <f t="shared" si="0"/>
        <v>-100</v>
      </c>
      <c r="F24" s="13" t="s">
        <v>444</v>
      </c>
      <c r="G24" s="14" t="str">
        <f t="shared" si="1"/>
        <v>Proefsleuven_Einde|Netgedreven|NOidK</v>
      </c>
    </row>
    <row r="25" spans="1:7" ht="15" customHeight="1" x14ac:dyDescent="0.3">
      <c r="A25" s="10" t="s">
        <v>178</v>
      </c>
      <c r="B25" s="10" t="s">
        <v>48</v>
      </c>
      <c r="C25" s="10" t="s">
        <v>49</v>
      </c>
      <c r="D25" s="11">
        <v>-18</v>
      </c>
      <c r="E25" s="12">
        <f t="shared" si="0"/>
        <v>-90</v>
      </c>
      <c r="F25" s="13" t="s">
        <v>445</v>
      </c>
      <c r="G25" s="14" t="str">
        <f t="shared" si="1"/>
        <v>Proefsleuven_Einde|Netgedreven|OidK</v>
      </c>
    </row>
    <row r="26" spans="1:7" ht="15" customHeight="1" x14ac:dyDescent="0.3">
      <c r="A26" s="10" t="s">
        <v>178</v>
      </c>
      <c r="B26" s="10" t="s">
        <v>55</v>
      </c>
      <c r="C26" s="10" t="s">
        <v>42</v>
      </c>
      <c r="D26" s="11">
        <v>-20</v>
      </c>
      <c r="E26" s="12">
        <f t="shared" si="0"/>
        <v>-100</v>
      </c>
      <c r="F26" s="13" t="s">
        <v>446</v>
      </c>
      <c r="G26" s="14" t="str">
        <f t="shared" si="1"/>
        <v>Proefsleuven_Einde|Reconstructies|NOidK</v>
      </c>
    </row>
    <row r="27" spans="1:7" ht="15" customHeight="1" x14ac:dyDescent="0.3">
      <c r="A27" s="10" t="s">
        <v>178</v>
      </c>
      <c r="B27" s="10" t="s">
        <v>55</v>
      </c>
      <c r="C27" s="10" t="s">
        <v>49</v>
      </c>
      <c r="D27" s="11">
        <v>-18</v>
      </c>
      <c r="E27" s="12">
        <f t="shared" si="0"/>
        <v>-90</v>
      </c>
      <c r="F27" s="13" t="s">
        <v>447</v>
      </c>
      <c r="G27" s="14" t="str">
        <f t="shared" si="1"/>
        <v>Proefsleuven_Einde|Reconstructies|OidK</v>
      </c>
    </row>
    <row r="28" spans="1:7" ht="15" customHeight="1" x14ac:dyDescent="0.3">
      <c r="A28" s="10" t="s">
        <v>268</v>
      </c>
      <c r="B28" s="10" t="s">
        <v>41</v>
      </c>
      <c r="C28" s="10" t="s">
        <v>42</v>
      </c>
      <c r="D28" s="11">
        <v>-15</v>
      </c>
      <c r="E28" s="12">
        <f t="shared" si="0"/>
        <v>-75</v>
      </c>
      <c r="F28" s="13" t="s">
        <v>448</v>
      </c>
      <c r="G28" s="14" t="str">
        <f t="shared" si="1"/>
        <v>DO_Einde|Klantgedreven|NOidK</v>
      </c>
    </row>
    <row r="29" spans="1:7" ht="15" customHeight="1" x14ac:dyDescent="0.3">
      <c r="A29" s="10" t="s">
        <v>268</v>
      </c>
      <c r="B29" s="10" t="s">
        <v>41</v>
      </c>
      <c r="C29" s="10" t="s">
        <v>49</v>
      </c>
      <c r="D29" s="11">
        <v>-15</v>
      </c>
      <c r="E29" s="12">
        <f t="shared" si="0"/>
        <v>-75</v>
      </c>
      <c r="F29" s="13" t="s">
        <v>443</v>
      </c>
      <c r="G29" s="14" t="str">
        <f t="shared" si="1"/>
        <v>DO_Einde|Klantgedreven|OidK</v>
      </c>
    </row>
    <row r="30" spans="1:7" ht="15" customHeight="1" x14ac:dyDescent="0.3">
      <c r="A30" s="10" t="s">
        <v>268</v>
      </c>
      <c r="B30" s="10" t="s">
        <v>48</v>
      </c>
      <c r="C30" s="10" t="s">
        <v>42</v>
      </c>
      <c r="D30" s="11">
        <v>-15</v>
      </c>
      <c r="E30" s="12">
        <f t="shared" si="0"/>
        <v>-75</v>
      </c>
      <c r="F30" s="13" t="s">
        <v>443</v>
      </c>
      <c r="G30" s="14" t="str">
        <f t="shared" si="1"/>
        <v>DO_Einde|Netgedreven|NOidK</v>
      </c>
    </row>
    <row r="31" spans="1:7" ht="15" customHeight="1" x14ac:dyDescent="0.3">
      <c r="A31" s="10" t="s">
        <v>268</v>
      </c>
      <c r="B31" s="10" t="s">
        <v>48</v>
      </c>
      <c r="C31" s="10" t="s">
        <v>49</v>
      </c>
      <c r="D31" s="11">
        <v>-15</v>
      </c>
      <c r="E31" s="12">
        <f t="shared" si="0"/>
        <v>-75</v>
      </c>
      <c r="F31" s="13" t="s">
        <v>443</v>
      </c>
      <c r="G31" s="14" t="str">
        <f t="shared" si="1"/>
        <v>DO_Einde|Netgedreven|OidK</v>
      </c>
    </row>
    <row r="32" spans="1:7" ht="15" customHeight="1" x14ac:dyDescent="0.3">
      <c r="A32" s="10" t="s">
        <v>268</v>
      </c>
      <c r="B32" s="10" t="s">
        <v>55</v>
      </c>
      <c r="C32" s="10" t="s">
        <v>42</v>
      </c>
      <c r="D32" s="11">
        <v>-15</v>
      </c>
      <c r="E32" s="12">
        <f t="shared" si="0"/>
        <v>-75</v>
      </c>
      <c r="F32" s="13" t="s">
        <v>443</v>
      </c>
      <c r="G32" s="14" t="str">
        <f t="shared" si="1"/>
        <v>DO_Einde|Reconstructies|NOidK</v>
      </c>
    </row>
    <row r="33" spans="1:7" ht="15" customHeight="1" x14ac:dyDescent="0.3">
      <c r="A33" s="10" t="s">
        <v>268</v>
      </c>
      <c r="B33" s="10" t="s">
        <v>55</v>
      </c>
      <c r="C33" s="10" t="s">
        <v>49</v>
      </c>
      <c r="D33" s="11">
        <v>-15</v>
      </c>
      <c r="E33" s="12">
        <f t="shared" si="0"/>
        <v>-75</v>
      </c>
      <c r="F33" s="13" t="s">
        <v>443</v>
      </c>
      <c r="G33" s="14" t="str">
        <f t="shared" si="1"/>
        <v>DO_Einde|Reconstructies|OidK</v>
      </c>
    </row>
    <row r="34" spans="1:7" ht="15" customHeight="1" x14ac:dyDescent="0.3">
      <c r="A34" s="10" t="s">
        <v>275</v>
      </c>
      <c r="B34" s="10" t="s">
        <v>41</v>
      </c>
      <c r="C34" s="10" t="s">
        <v>42</v>
      </c>
      <c r="D34" s="11">
        <v>-15</v>
      </c>
      <c r="E34" s="12">
        <f t="shared" si="0"/>
        <v>-75</v>
      </c>
      <c r="F34" s="13" t="s">
        <v>449</v>
      </c>
      <c r="G34" s="14" t="str">
        <f t="shared" si="1"/>
        <v>DO_Dossier_Einde|Klantgedreven|NOidK</v>
      </c>
    </row>
    <row r="35" spans="1:7" ht="15" customHeight="1" x14ac:dyDescent="0.3">
      <c r="A35" s="10" t="s">
        <v>275</v>
      </c>
      <c r="B35" s="10" t="s">
        <v>41</v>
      </c>
      <c r="C35" s="10" t="s">
        <v>49</v>
      </c>
      <c r="D35" s="11">
        <v>-15</v>
      </c>
      <c r="E35" s="12">
        <f t="shared" si="0"/>
        <v>-75</v>
      </c>
      <c r="F35" s="13" t="s">
        <v>443</v>
      </c>
      <c r="G35" s="14" t="str">
        <f t="shared" si="1"/>
        <v>DO_Dossier_Einde|Klantgedreven|OidK</v>
      </c>
    </row>
    <row r="36" spans="1:7" ht="15" customHeight="1" x14ac:dyDescent="0.3">
      <c r="A36" s="10" t="s">
        <v>275</v>
      </c>
      <c r="B36" s="10" t="s">
        <v>48</v>
      </c>
      <c r="C36" s="10" t="s">
        <v>42</v>
      </c>
      <c r="D36" s="11">
        <v>-15</v>
      </c>
      <c r="E36" s="12">
        <f t="shared" ref="E36:E67" si="2">IF(D36="","",D36*5)</f>
        <v>-75</v>
      </c>
      <c r="F36" s="13" t="s">
        <v>443</v>
      </c>
      <c r="G36" s="14" t="str">
        <f t="shared" ref="G36:G67" si="3">A36&amp;"|"&amp;B36&amp;"|"&amp;C36</f>
        <v>DO_Dossier_Einde|Netgedreven|NOidK</v>
      </c>
    </row>
    <row r="37" spans="1:7" ht="15" customHeight="1" x14ac:dyDescent="0.3">
      <c r="A37" s="10" t="s">
        <v>275</v>
      </c>
      <c r="B37" s="10" t="s">
        <v>48</v>
      </c>
      <c r="C37" s="10" t="s">
        <v>49</v>
      </c>
      <c r="D37" s="11">
        <v>-15</v>
      </c>
      <c r="E37" s="12">
        <f t="shared" si="2"/>
        <v>-75</v>
      </c>
      <c r="F37" s="13" t="s">
        <v>443</v>
      </c>
      <c r="G37" s="14" t="str">
        <f t="shared" si="3"/>
        <v>DO_Dossier_Einde|Netgedreven|OidK</v>
      </c>
    </row>
    <row r="38" spans="1:7" ht="15" customHeight="1" x14ac:dyDescent="0.3">
      <c r="A38" s="10" t="s">
        <v>275</v>
      </c>
      <c r="B38" s="10" t="s">
        <v>55</v>
      </c>
      <c r="C38" s="10" t="s">
        <v>42</v>
      </c>
      <c r="D38" s="11">
        <v>-15</v>
      </c>
      <c r="E38" s="12">
        <f t="shared" si="2"/>
        <v>-75</v>
      </c>
      <c r="F38" s="13" t="s">
        <v>443</v>
      </c>
      <c r="G38" s="14" t="str">
        <f t="shared" si="3"/>
        <v>DO_Dossier_Einde|Reconstructies|NOidK</v>
      </c>
    </row>
    <row r="39" spans="1:7" ht="15" customHeight="1" x14ac:dyDescent="0.3">
      <c r="A39" s="10" t="s">
        <v>275</v>
      </c>
      <c r="B39" s="10" t="s">
        <v>55</v>
      </c>
      <c r="C39" s="10" t="s">
        <v>49</v>
      </c>
      <c r="D39" s="11">
        <v>-15</v>
      </c>
      <c r="E39" s="12">
        <f t="shared" si="2"/>
        <v>-75</v>
      </c>
      <c r="F39" s="13" t="s">
        <v>443</v>
      </c>
      <c r="G39" s="14" t="str">
        <f t="shared" si="3"/>
        <v>DO_Dossier_Einde|Reconstructies|OidK</v>
      </c>
    </row>
    <row r="40" spans="1:7" ht="15" customHeight="1" x14ac:dyDescent="0.3">
      <c r="A40" s="10" t="s">
        <v>226</v>
      </c>
      <c r="B40" s="10" t="s">
        <v>41</v>
      </c>
      <c r="C40" s="10" t="s">
        <v>42</v>
      </c>
      <c r="D40" s="11">
        <v>-5</v>
      </c>
      <c r="E40" s="12">
        <f t="shared" si="2"/>
        <v>-25</v>
      </c>
      <c r="F40" s="13" t="s">
        <v>450</v>
      </c>
      <c r="G40" s="14" t="str">
        <f t="shared" si="3"/>
        <v>Vergunning_Einde|Klantgedreven|NOidK</v>
      </c>
    </row>
    <row r="41" spans="1:7" ht="15" customHeight="1" x14ac:dyDescent="0.3">
      <c r="A41" s="10" t="s">
        <v>226</v>
      </c>
      <c r="B41" s="10" t="s">
        <v>41</v>
      </c>
      <c r="C41" s="10" t="s">
        <v>49</v>
      </c>
      <c r="D41" s="11">
        <v>-5</v>
      </c>
      <c r="E41" s="12">
        <f t="shared" si="2"/>
        <v>-25</v>
      </c>
      <c r="F41" s="13" t="s">
        <v>443</v>
      </c>
      <c r="G41" s="14" t="str">
        <f t="shared" si="3"/>
        <v>Vergunning_Einde|Klantgedreven|OidK</v>
      </c>
    </row>
    <row r="42" spans="1:7" ht="15" customHeight="1" x14ac:dyDescent="0.3">
      <c r="A42" s="10" t="s">
        <v>226</v>
      </c>
      <c r="B42" s="10" t="s">
        <v>48</v>
      </c>
      <c r="C42" s="10" t="s">
        <v>42</v>
      </c>
      <c r="D42" s="11">
        <v>-5</v>
      </c>
      <c r="E42" s="12">
        <f t="shared" si="2"/>
        <v>-25</v>
      </c>
      <c r="F42" s="13" t="s">
        <v>443</v>
      </c>
      <c r="G42" s="14" t="str">
        <f t="shared" si="3"/>
        <v>Vergunning_Einde|Netgedreven|NOidK</v>
      </c>
    </row>
    <row r="43" spans="1:7" ht="15" customHeight="1" x14ac:dyDescent="0.3">
      <c r="A43" s="10" t="s">
        <v>226</v>
      </c>
      <c r="B43" s="10" t="s">
        <v>48</v>
      </c>
      <c r="C43" s="10" t="s">
        <v>49</v>
      </c>
      <c r="D43" s="11">
        <v>-5</v>
      </c>
      <c r="E43" s="12">
        <f t="shared" si="2"/>
        <v>-25</v>
      </c>
      <c r="F43" s="13" t="s">
        <v>443</v>
      </c>
      <c r="G43" s="14" t="str">
        <f t="shared" si="3"/>
        <v>Vergunning_Einde|Netgedreven|OidK</v>
      </c>
    </row>
    <row r="44" spans="1:7" ht="15" customHeight="1" x14ac:dyDescent="0.3">
      <c r="A44" s="10" t="s">
        <v>226</v>
      </c>
      <c r="B44" s="10" t="s">
        <v>55</v>
      </c>
      <c r="C44" s="10" t="s">
        <v>42</v>
      </c>
      <c r="D44" s="11">
        <v>-5</v>
      </c>
      <c r="E44" s="12">
        <f t="shared" si="2"/>
        <v>-25</v>
      </c>
      <c r="F44" s="13" t="s">
        <v>443</v>
      </c>
      <c r="G44" s="14" t="str">
        <f t="shared" si="3"/>
        <v>Vergunning_Einde|Reconstructies|NOidK</v>
      </c>
    </row>
    <row r="45" spans="1:7" ht="15" customHeight="1" x14ac:dyDescent="0.3">
      <c r="A45" s="10" t="s">
        <v>226</v>
      </c>
      <c r="B45" s="10" t="s">
        <v>55</v>
      </c>
      <c r="C45" s="10" t="s">
        <v>49</v>
      </c>
      <c r="D45" s="11">
        <v>-5</v>
      </c>
      <c r="E45" s="12">
        <f t="shared" si="2"/>
        <v>-25</v>
      </c>
      <c r="F45" s="13" t="s">
        <v>443</v>
      </c>
      <c r="G45" s="14" t="str">
        <f t="shared" si="3"/>
        <v>Vergunning_Einde|Reconstructies|OidK</v>
      </c>
    </row>
    <row r="46" spans="1:7" ht="15" customHeight="1" x14ac:dyDescent="0.3">
      <c r="A46" s="10" t="s">
        <v>287</v>
      </c>
      <c r="B46" s="10" t="s">
        <v>41</v>
      </c>
      <c r="C46" s="10" t="s">
        <v>42</v>
      </c>
      <c r="D46" s="11">
        <v>-7</v>
      </c>
      <c r="E46" s="12">
        <f t="shared" si="2"/>
        <v>-35</v>
      </c>
      <c r="F46" s="13" t="s">
        <v>451</v>
      </c>
      <c r="G46" s="14" t="str">
        <f t="shared" si="3"/>
        <v>Begroting_Einde|Klantgedreven|NOidK</v>
      </c>
    </row>
    <row r="47" spans="1:7" ht="15" customHeight="1" x14ac:dyDescent="0.3">
      <c r="A47" s="10" t="s">
        <v>287</v>
      </c>
      <c r="B47" s="10" t="s">
        <v>41</v>
      </c>
      <c r="C47" s="10" t="s">
        <v>49</v>
      </c>
      <c r="D47" s="11">
        <v>-7</v>
      </c>
      <c r="E47" s="12">
        <f t="shared" si="2"/>
        <v>-35</v>
      </c>
      <c r="F47" s="13" t="s">
        <v>443</v>
      </c>
      <c r="G47" s="14" t="str">
        <f t="shared" si="3"/>
        <v>Begroting_Einde|Klantgedreven|OidK</v>
      </c>
    </row>
    <row r="48" spans="1:7" ht="15" customHeight="1" x14ac:dyDescent="0.3">
      <c r="A48" s="10" t="s">
        <v>287</v>
      </c>
      <c r="B48" s="10" t="s">
        <v>48</v>
      </c>
      <c r="C48" s="10" t="s">
        <v>42</v>
      </c>
      <c r="D48" s="11">
        <v>-7</v>
      </c>
      <c r="E48" s="12">
        <f t="shared" si="2"/>
        <v>-35</v>
      </c>
      <c r="F48" s="13" t="s">
        <v>443</v>
      </c>
      <c r="G48" s="14" t="str">
        <f t="shared" si="3"/>
        <v>Begroting_Einde|Netgedreven|NOidK</v>
      </c>
    </row>
    <row r="49" spans="1:7" ht="15" customHeight="1" x14ac:dyDescent="0.3">
      <c r="A49" s="10" t="s">
        <v>287</v>
      </c>
      <c r="B49" s="10" t="s">
        <v>48</v>
      </c>
      <c r="C49" s="10" t="s">
        <v>49</v>
      </c>
      <c r="D49" s="11">
        <v>-7</v>
      </c>
      <c r="E49" s="12">
        <f t="shared" si="2"/>
        <v>-35</v>
      </c>
      <c r="F49" s="13" t="s">
        <v>443</v>
      </c>
      <c r="G49" s="14" t="str">
        <f t="shared" si="3"/>
        <v>Begroting_Einde|Netgedreven|OidK</v>
      </c>
    </row>
    <row r="50" spans="1:7" ht="15" customHeight="1" x14ac:dyDescent="0.3">
      <c r="A50" s="10" t="s">
        <v>287</v>
      </c>
      <c r="B50" s="10" t="s">
        <v>55</v>
      </c>
      <c r="C50" s="10" t="s">
        <v>42</v>
      </c>
      <c r="D50" s="11">
        <v>-7</v>
      </c>
      <c r="E50" s="12">
        <f t="shared" si="2"/>
        <v>-35</v>
      </c>
      <c r="F50" s="13" t="s">
        <v>443</v>
      </c>
      <c r="G50" s="14" t="str">
        <f t="shared" si="3"/>
        <v>Begroting_Einde|Reconstructies|NOidK</v>
      </c>
    </row>
    <row r="51" spans="1:7" ht="15" customHeight="1" x14ac:dyDescent="0.3">
      <c r="A51" s="10" t="s">
        <v>287</v>
      </c>
      <c r="B51" s="10" t="s">
        <v>55</v>
      </c>
      <c r="C51" s="10" t="s">
        <v>49</v>
      </c>
      <c r="D51" s="11">
        <v>-7</v>
      </c>
      <c r="E51" s="12">
        <f t="shared" si="2"/>
        <v>-35</v>
      </c>
      <c r="F51" s="13" t="s">
        <v>443</v>
      </c>
      <c r="G51" s="14" t="str">
        <f t="shared" si="3"/>
        <v>Begroting_Einde|Reconstructies|OidK</v>
      </c>
    </row>
    <row r="52" spans="1:7" ht="15" customHeight="1" x14ac:dyDescent="0.3">
      <c r="A52" s="10" t="s">
        <v>293</v>
      </c>
      <c r="B52" s="10" t="s">
        <v>41</v>
      </c>
      <c r="C52" s="10" t="s">
        <v>42</v>
      </c>
      <c r="D52" s="11">
        <v>-7</v>
      </c>
      <c r="E52" s="12">
        <f t="shared" si="2"/>
        <v>-35</v>
      </c>
      <c r="F52" s="13" t="s">
        <v>452</v>
      </c>
      <c r="G52" s="14" t="str">
        <f t="shared" si="3"/>
        <v>Materiaal_Einde|Klantgedreven|NOidK</v>
      </c>
    </row>
    <row r="53" spans="1:7" ht="15" customHeight="1" x14ac:dyDescent="0.3">
      <c r="A53" s="10" t="s">
        <v>293</v>
      </c>
      <c r="B53" s="10" t="s">
        <v>41</v>
      </c>
      <c r="C53" s="10" t="s">
        <v>49</v>
      </c>
      <c r="D53" s="11">
        <v>-7</v>
      </c>
      <c r="E53" s="12">
        <f t="shared" si="2"/>
        <v>-35</v>
      </c>
      <c r="F53" s="13" t="s">
        <v>443</v>
      </c>
      <c r="G53" s="14" t="str">
        <f t="shared" si="3"/>
        <v>Materiaal_Einde|Klantgedreven|OidK</v>
      </c>
    </row>
    <row r="54" spans="1:7" ht="15" customHeight="1" x14ac:dyDescent="0.3">
      <c r="A54" s="10" t="s">
        <v>293</v>
      </c>
      <c r="B54" s="10" t="s">
        <v>48</v>
      </c>
      <c r="C54" s="10" t="s">
        <v>42</v>
      </c>
      <c r="D54" s="11">
        <v>-7</v>
      </c>
      <c r="E54" s="12">
        <f t="shared" si="2"/>
        <v>-35</v>
      </c>
      <c r="F54" s="13" t="s">
        <v>443</v>
      </c>
      <c r="G54" s="14" t="str">
        <f t="shared" si="3"/>
        <v>Materiaal_Einde|Netgedreven|NOidK</v>
      </c>
    </row>
    <row r="55" spans="1:7" ht="15" customHeight="1" x14ac:dyDescent="0.3">
      <c r="A55" s="10" t="s">
        <v>293</v>
      </c>
      <c r="B55" s="10" t="s">
        <v>48</v>
      </c>
      <c r="C55" s="10" t="s">
        <v>49</v>
      </c>
      <c r="D55" s="11">
        <v>-7</v>
      </c>
      <c r="E55" s="12">
        <f t="shared" si="2"/>
        <v>-35</v>
      </c>
      <c r="F55" s="13" t="s">
        <v>443</v>
      </c>
      <c r="G55" s="14" t="str">
        <f t="shared" si="3"/>
        <v>Materiaal_Einde|Netgedreven|OidK</v>
      </c>
    </row>
    <row r="56" spans="1:7" ht="15" customHeight="1" x14ac:dyDescent="0.3">
      <c r="A56" s="10" t="s">
        <v>293</v>
      </c>
      <c r="B56" s="10" t="s">
        <v>55</v>
      </c>
      <c r="C56" s="10" t="s">
        <v>42</v>
      </c>
      <c r="D56" s="11">
        <v>-7</v>
      </c>
      <c r="E56" s="12">
        <f t="shared" si="2"/>
        <v>-35</v>
      </c>
      <c r="F56" s="13" t="s">
        <v>443</v>
      </c>
      <c r="G56" s="14" t="str">
        <f t="shared" si="3"/>
        <v>Materiaal_Einde|Reconstructies|NOidK</v>
      </c>
    </row>
    <row r="57" spans="1:7" ht="15" customHeight="1" x14ac:dyDescent="0.3">
      <c r="A57" s="10" t="s">
        <v>293</v>
      </c>
      <c r="B57" s="10" t="s">
        <v>55</v>
      </c>
      <c r="C57" s="10" t="s">
        <v>49</v>
      </c>
      <c r="D57" s="11">
        <v>-7</v>
      </c>
      <c r="E57" s="12">
        <f t="shared" si="2"/>
        <v>-35</v>
      </c>
      <c r="F57" s="13" t="s">
        <v>443</v>
      </c>
      <c r="G57" s="14" t="str">
        <f t="shared" si="3"/>
        <v>Materiaal_Einde|Reconstructies|OidK</v>
      </c>
    </row>
    <row r="58" spans="1:7" ht="15" customHeight="1" x14ac:dyDescent="0.3">
      <c r="A58" s="10" t="s">
        <v>299</v>
      </c>
      <c r="B58" s="10" t="s">
        <v>41</v>
      </c>
      <c r="C58" s="10" t="s">
        <v>42</v>
      </c>
      <c r="D58" s="11">
        <v>-5</v>
      </c>
      <c r="E58" s="12">
        <f t="shared" si="2"/>
        <v>-25</v>
      </c>
      <c r="F58" s="13" t="s">
        <v>453</v>
      </c>
      <c r="G58" s="14" t="str">
        <f t="shared" si="3"/>
        <v>Kickoff_Einde|Klantgedreven|NOidK</v>
      </c>
    </row>
    <row r="59" spans="1:7" ht="15" customHeight="1" x14ac:dyDescent="0.3">
      <c r="A59" s="10" t="s">
        <v>299</v>
      </c>
      <c r="B59" s="10" t="s">
        <v>41</v>
      </c>
      <c r="C59" s="10" t="s">
        <v>49</v>
      </c>
      <c r="D59" s="11">
        <v>-5</v>
      </c>
      <c r="E59" s="12">
        <f t="shared" si="2"/>
        <v>-25</v>
      </c>
      <c r="F59" s="13" t="s">
        <v>443</v>
      </c>
      <c r="G59" s="14" t="str">
        <f t="shared" si="3"/>
        <v>Kickoff_Einde|Klantgedreven|OidK</v>
      </c>
    </row>
    <row r="60" spans="1:7" ht="15" customHeight="1" x14ac:dyDescent="0.3">
      <c r="A60" s="10" t="s">
        <v>299</v>
      </c>
      <c r="B60" s="10" t="s">
        <v>48</v>
      </c>
      <c r="C60" s="10" t="s">
        <v>42</v>
      </c>
      <c r="D60" s="11">
        <v>-5</v>
      </c>
      <c r="E60" s="12">
        <f t="shared" si="2"/>
        <v>-25</v>
      </c>
      <c r="F60" s="13" t="s">
        <v>443</v>
      </c>
      <c r="G60" s="14" t="str">
        <f t="shared" si="3"/>
        <v>Kickoff_Einde|Netgedreven|NOidK</v>
      </c>
    </row>
    <row r="61" spans="1:7" ht="15" customHeight="1" x14ac:dyDescent="0.3">
      <c r="A61" s="10" t="s">
        <v>299</v>
      </c>
      <c r="B61" s="10" t="s">
        <v>48</v>
      </c>
      <c r="C61" s="10" t="s">
        <v>49</v>
      </c>
      <c r="D61" s="11">
        <v>-5</v>
      </c>
      <c r="E61" s="12">
        <f t="shared" si="2"/>
        <v>-25</v>
      </c>
      <c r="F61" s="13" t="s">
        <v>443</v>
      </c>
      <c r="G61" s="14" t="str">
        <f t="shared" si="3"/>
        <v>Kickoff_Einde|Netgedreven|OidK</v>
      </c>
    </row>
    <row r="62" spans="1:7" ht="15" customHeight="1" x14ac:dyDescent="0.3">
      <c r="A62" s="10" t="s">
        <v>299</v>
      </c>
      <c r="B62" s="10" t="s">
        <v>55</v>
      </c>
      <c r="C62" s="10" t="s">
        <v>42</v>
      </c>
      <c r="D62" s="11">
        <v>-5</v>
      </c>
      <c r="E62" s="12">
        <f t="shared" si="2"/>
        <v>-25</v>
      </c>
      <c r="F62" s="13" t="s">
        <v>443</v>
      </c>
      <c r="G62" s="14" t="str">
        <f t="shared" si="3"/>
        <v>Kickoff_Einde|Reconstructies|NOidK</v>
      </c>
    </row>
    <row r="63" spans="1:7" ht="15" customHeight="1" x14ac:dyDescent="0.3">
      <c r="A63" s="10" t="s">
        <v>299</v>
      </c>
      <c r="B63" s="10" t="s">
        <v>55</v>
      </c>
      <c r="C63" s="10" t="s">
        <v>49</v>
      </c>
      <c r="D63" s="11">
        <v>-5</v>
      </c>
      <c r="E63" s="12">
        <f t="shared" si="2"/>
        <v>-25</v>
      </c>
      <c r="F63" s="13" t="s">
        <v>443</v>
      </c>
      <c r="G63" s="14" t="str">
        <f t="shared" si="3"/>
        <v>Kickoff_Einde|Reconstructies|OidK</v>
      </c>
    </row>
    <row r="64" spans="1:7" ht="15" customHeight="1" x14ac:dyDescent="0.3">
      <c r="A64" s="10" t="s">
        <v>238</v>
      </c>
      <c r="B64" s="10" t="s">
        <v>41</v>
      </c>
      <c r="C64" s="10" t="s">
        <v>42</v>
      </c>
      <c r="D64" s="11">
        <v>-4</v>
      </c>
      <c r="E64" s="12">
        <f t="shared" si="2"/>
        <v>-20</v>
      </c>
      <c r="F64" s="13" t="s">
        <v>454</v>
      </c>
      <c r="G64" s="14" t="str">
        <f t="shared" si="3"/>
        <v>WVB_Uitv_Start|Klantgedreven|NOidK</v>
      </c>
    </row>
    <row r="65" spans="1:7" ht="15" customHeight="1" x14ac:dyDescent="0.3">
      <c r="A65" s="10" t="s">
        <v>238</v>
      </c>
      <c r="B65" s="10" t="s">
        <v>41</v>
      </c>
      <c r="C65" s="10" t="s">
        <v>49</v>
      </c>
      <c r="D65" s="11">
        <v>-4</v>
      </c>
      <c r="E65" s="12">
        <f t="shared" si="2"/>
        <v>-20</v>
      </c>
      <c r="F65" s="13" t="s">
        <v>443</v>
      </c>
      <c r="G65" s="14" t="str">
        <f t="shared" si="3"/>
        <v>WVB_Uitv_Start|Klantgedreven|OidK</v>
      </c>
    </row>
    <row r="66" spans="1:7" ht="15" customHeight="1" x14ac:dyDescent="0.3">
      <c r="A66" s="10" t="s">
        <v>238</v>
      </c>
      <c r="B66" s="10" t="s">
        <v>48</v>
      </c>
      <c r="C66" s="10" t="s">
        <v>42</v>
      </c>
      <c r="D66" s="11">
        <v>-4</v>
      </c>
      <c r="E66" s="12">
        <f t="shared" si="2"/>
        <v>-20</v>
      </c>
      <c r="F66" s="13" t="s">
        <v>443</v>
      </c>
      <c r="G66" s="14" t="str">
        <f t="shared" si="3"/>
        <v>WVB_Uitv_Start|Netgedreven|NOidK</v>
      </c>
    </row>
    <row r="67" spans="1:7" ht="15" customHeight="1" x14ac:dyDescent="0.3">
      <c r="A67" s="10" t="s">
        <v>238</v>
      </c>
      <c r="B67" s="10" t="s">
        <v>48</v>
      </c>
      <c r="C67" s="10" t="s">
        <v>49</v>
      </c>
      <c r="D67" s="11">
        <v>-4</v>
      </c>
      <c r="E67" s="12">
        <f t="shared" si="2"/>
        <v>-20</v>
      </c>
      <c r="F67" s="13" t="s">
        <v>443</v>
      </c>
      <c r="G67" s="14" t="str">
        <f t="shared" si="3"/>
        <v>WVB_Uitv_Start|Netgedreven|OidK</v>
      </c>
    </row>
    <row r="68" spans="1:7" ht="15" customHeight="1" x14ac:dyDescent="0.3">
      <c r="A68" s="10" t="s">
        <v>238</v>
      </c>
      <c r="B68" s="10" t="s">
        <v>55</v>
      </c>
      <c r="C68" s="10" t="s">
        <v>42</v>
      </c>
      <c r="D68" s="11">
        <v>-4</v>
      </c>
      <c r="E68" s="12">
        <f t="shared" ref="E68:E99" si="4">IF(D68="","",D68*5)</f>
        <v>-20</v>
      </c>
      <c r="F68" s="13" t="s">
        <v>443</v>
      </c>
      <c r="G68" s="14" t="str">
        <f t="shared" ref="G68:G75" si="5">A68&amp;"|"&amp;B68&amp;"|"&amp;C68</f>
        <v>WVB_Uitv_Start|Reconstructies|NOidK</v>
      </c>
    </row>
    <row r="69" spans="1:7" ht="15" customHeight="1" x14ac:dyDescent="0.3">
      <c r="A69" s="10" t="s">
        <v>238</v>
      </c>
      <c r="B69" s="10" t="s">
        <v>55</v>
      </c>
      <c r="C69" s="10" t="s">
        <v>49</v>
      </c>
      <c r="D69" s="11">
        <v>-4</v>
      </c>
      <c r="E69" s="12">
        <f t="shared" si="4"/>
        <v>-20</v>
      </c>
      <c r="F69" s="13" t="s">
        <v>443</v>
      </c>
      <c r="G69" s="14" t="str">
        <f t="shared" si="5"/>
        <v>WVB_Uitv_Start|Reconstructies|OidK</v>
      </c>
    </row>
    <row r="70" spans="1:7" ht="15" customHeight="1" x14ac:dyDescent="0.3">
      <c r="A70" s="10" t="s">
        <v>305</v>
      </c>
      <c r="B70" s="10" t="s">
        <v>41</v>
      </c>
      <c r="C70" s="10" t="s">
        <v>42</v>
      </c>
      <c r="D70" s="11">
        <v>-1</v>
      </c>
      <c r="E70" s="12">
        <f t="shared" si="4"/>
        <v>-5</v>
      </c>
      <c r="F70" s="13" t="s">
        <v>455</v>
      </c>
      <c r="G70" s="14" t="str">
        <f t="shared" si="5"/>
        <v>Startwerk_Einde|Klantgedreven|NOidK</v>
      </c>
    </row>
    <row r="71" spans="1:7" ht="15" customHeight="1" x14ac:dyDescent="0.3">
      <c r="A71" s="10" t="s">
        <v>305</v>
      </c>
      <c r="B71" s="10" t="s">
        <v>41</v>
      </c>
      <c r="C71" s="10" t="s">
        <v>49</v>
      </c>
      <c r="D71" s="11">
        <v>-1</v>
      </c>
      <c r="E71" s="12">
        <f t="shared" si="4"/>
        <v>-5</v>
      </c>
      <c r="F71" s="13" t="s">
        <v>443</v>
      </c>
      <c r="G71" s="14" t="str">
        <f t="shared" si="5"/>
        <v>Startwerk_Einde|Klantgedreven|OidK</v>
      </c>
    </row>
    <row r="72" spans="1:7" ht="15" customHeight="1" x14ac:dyDescent="0.3">
      <c r="A72" s="10" t="s">
        <v>305</v>
      </c>
      <c r="B72" s="10" t="s">
        <v>48</v>
      </c>
      <c r="C72" s="10" t="s">
        <v>42</v>
      </c>
      <c r="D72" s="11">
        <v>-1</v>
      </c>
      <c r="E72" s="12">
        <f t="shared" si="4"/>
        <v>-5</v>
      </c>
      <c r="F72" s="13" t="s">
        <v>443</v>
      </c>
      <c r="G72" s="14" t="str">
        <f t="shared" si="5"/>
        <v>Startwerk_Einde|Netgedreven|NOidK</v>
      </c>
    </row>
    <row r="73" spans="1:7" ht="15" customHeight="1" x14ac:dyDescent="0.3">
      <c r="A73" s="10" t="s">
        <v>305</v>
      </c>
      <c r="B73" s="10" t="s">
        <v>48</v>
      </c>
      <c r="C73" s="10" t="s">
        <v>49</v>
      </c>
      <c r="D73" s="11">
        <v>-1</v>
      </c>
      <c r="E73" s="12">
        <f t="shared" si="4"/>
        <v>-5</v>
      </c>
      <c r="F73" s="13" t="s">
        <v>443</v>
      </c>
      <c r="G73" s="14" t="str">
        <f t="shared" si="5"/>
        <v>Startwerk_Einde|Netgedreven|OidK</v>
      </c>
    </row>
    <row r="74" spans="1:7" ht="15" customHeight="1" x14ac:dyDescent="0.3">
      <c r="A74" s="10" t="s">
        <v>305</v>
      </c>
      <c r="B74" s="10" t="s">
        <v>55</v>
      </c>
      <c r="C74" s="10" t="s">
        <v>42</v>
      </c>
      <c r="D74" s="11">
        <v>-1</v>
      </c>
      <c r="E74" s="12">
        <f t="shared" si="4"/>
        <v>-5</v>
      </c>
      <c r="F74" s="13" t="s">
        <v>443</v>
      </c>
      <c r="G74" s="14" t="str">
        <f t="shared" si="5"/>
        <v>Startwerk_Einde|Reconstructies|NOidK</v>
      </c>
    </row>
    <row r="75" spans="1:7" ht="15" customHeight="1" x14ac:dyDescent="0.3">
      <c r="A75" s="10" t="s">
        <v>305</v>
      </c>
      <c r="B75" s="10" t="s">
        <v>55</v>
      </c>
      <c r="C75" s="10" t="s">
        <v>49</v>
      </c>
      <c r="D75" s="11">
        <v>-1</v>
      </c>
      <c r="E75" s="12">
        <f t="shared" si="4"/>
        <v>-5</v>
      </c>
      <c r="F75" s="13" t="s">
        <v>443</v>
      </c>
      <c r="G75" s="14" t="str">
        <f t="shared" si="5"/>
        <v>Startwerk_Einde|Reconstructies|OidK</v>
      </c>
    </row>
  </sheetData>
  <mergeCells count="1">
    <mergeCell ref="A1:F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J7"/>
  <sheetViews>
    <sheetView showGridLines="0" zoomScaleNormal="100" workbookViewId="0">
      <pane ySplit="3" topLeftCell="A4" activePane="bottomLeft" state="frozen"/>
      <selection pane="bottomLeft" sqref="A1:J1"/>
    </sheetView>
  </sheetViews>
  <sheetFormatPr defaultColWidth="8.6640625" defaultRowHeight="14.4" x14ac:dyDescent="0.3"/>
  <cols>
    <col min="1" max="1" width="14" customWidth="1"/>
    <col min="2" max="3" width="32" customWidth="1"/>
    <col min="4" max="4" width="18" customWidth="1"/>
    <col min="5" max="5" width="14" customWidth="1"/>
    <col min="6" max="6" width="18" customWidth="1"/>
    <col min="7" max="7" width="10" customWidth="1"/>
    <col min="8" max="8" width="24" customWidth="1"/>
    <col min="9" max="9" width="22" customWidth="1"/>
    <col min="10" max="10" width="40" customWidth="1"/>
  </cols>
  <sheetData>
    <row r="1" spans="1:10" ht="21.75" customHeight="1" x14ac:dyDescent="0.3">
      <c r="A1" s="63" t="s">
        <v>456</v>
      </c>
      <c r="B1" s="49"/>
      <c r="C1" s="49"/>
      <c r="D1" s="49"/>
      <c r="E1" s="49"/>
      <c r="F1" s="49"/>
      <c r="G1" s="49"/>
      <c r="H1" s="49"/>
      <c r="I1" s="49"/>
      <c r="J1" s="49"/>
    </row>
    <row r="3" spans="1:10" ht="25.5" customHeight="1" x14ac:dyDescent="0.3">
      <c r="A3" s="7" t="s">
        <v>457</v>
      </c>
      <c r="B3" s="7" t="s">
        <v>458</v>
      </c>
      <c r="C3" s="7" t="s">
        <v>459</v>
      </c>
      <c r="D3" s="7" t="s">
        <v>460</v>
      </c>
      <c r="E3" s="7" t="s">
        <v>461</v>
      </c>
      <c r="F3" s="7" t="s">
        <v>97</v>
      </c>
      <c r="G3" s="7" t="s">
        <v>98</v>
      </c>
      <c r="H3" s="7" t="s">
        <v>45</v>
      </c>
      <c r="I3" s="7" t="s">
        <v>462</v>
      </c>
      <c r="J3" s="7" t="s">
        <v>463</v>
      </c>
    </row>
    <row r="4" spans="1:10" ht="15" customHeight="1" x14ac:dyDescent="0.3">
      <c r="A4" s="15" t="s">
        <v>464</v>
      </c>
      <c r="B4" s="15" t="s">
        <v>465</v>
      </c>
      <c r="C4" s="15" t="s">
        <v>466</v>
      </c>
      <c r="D4" s="15" t="s">
        <v>467</v>
      </c>
      <c r="E4" s="16">
        <v>46405</v>
      </c>
      <c r="F4" s="15" t="s">
        <v>48</v>
      </c>
      <c r="G4" s="15" t="s">
        <v>49</v>
      </c>
      <c r="H4" s="15" t="s">
        <v>468</v>
      </c>
      <c r="I4" s="15" t="s">
        <v>469</v>
      </c>
      <c r="J4" s="15" t="s">
        <v>470</v>
      </c>
    </row>
    <row r="5" spans="1:10" ht="15" customHeight="1" x14ac:dyDescent="0.3">
      <c r="A5" s="15" t="s">
        <v>471</v>
      </c>
      <c r="B5" s="15" t="s">
        <v>472</v>
      </c>
      <c r="C5" s="15" t="s">
        <v>473</v>
      </c>
      <c r="D5" s="15" t="s">
        <v>474</v>
      </c>
      <c r="E5" s="16">
        <v>46258</v>
      </c>
      <c r="F5" s="15" t="s">
        <v>48</v>
      </c>
      <c r="G5" s="15" t="s">
        <v>42</v>
      </c>
      <c r="H5" s="15" t="s">
        <v>475</v>
      </c>
      <c r="I5" s="15" t="s">
        <v>469</v>
      </c>
      <c r="J5" s="15" t="s">
        <v>476</v>
      </c>
    </row>
    <row r="6" spans="1:10" ht="15" customHeight="1" x14ac:dyDescent="0.3">
      <c r="A6" s="15" t="s">
        <v>477</v>
      </c>
      <c r="B6" s="15" t="s">
        <v>478</v>
      </c>
      <c r="C6" s="15" t="s">
        <v>478</v>
      </c>
      <c r="D6" s="15" t="s">
        <v>479</v>
      </c>
      <c r="E6" s="16">
        <v>46265</v>
      </c>
      <c r="F6" s="15" t="s">
        <v>48</v>
      </c>
      <c r="G6" s="15" t="s">
        <v>42</v>
      </c>
      <c r="H6" s="15" t="s">
        <v>480</v>
      </c>
      <c r="I6" s="15" t="s">
        <v>469</v>
      </c>
      <c r="J6" s="15" t="s">
        <v>481</v>
      </c>
    </row>
    <row r="7" spans="1:10" ht="34.5" customHeight="1" x14ac:dyDescent="0.3">
      <c r="A7" s="15" t="s">
        <v>482</v>
      </c>
      <c r="B7" s="15" t="s">
        <v>483</v>
      </c>
      <c r="C7" s="15" t="s">
        <v>483</v>
      </c>
      <c r="D7" s="15" t="s">
        <v>484</v>
      </c>
      <c r="E7" s="16">
        <v>46223</v>
      </c>
      <c r="F7" s="15" t="s">
        <v>48</v>
      </c>
      <c r="G7" s="15" t="s">
        <v>42</v>
      </c>
      <c r="H7" s="15" t="s">
        <v>485</v>
      </c>
      <c r="I7" s="15" t="s">
        <v>486</v>
      </c>
      <c r="J7" s="15" t="s">
        <v>487</v>
      </c>
    </row>
  </sheetData>
  <mergeCells count="1">
    <mergeCell ref="A1:J1"/>
  </mergeCells>
  <dataValidations count="2">
    <dataValidation type="list" allowBlank="1" sqref="F4:F200" xr:uid="{00000000-0002-0000-0500-000000000000}">
      <formula1>lst_Routes</formula1>
      <formula2>0</formula2>
    </dataValidation>
    <dataValidation type="list" allowBlank="1" sqref="G4:G200" xr:uid="{00000000-0002-0000-0500-000001000000}">
      <formula1>lst_Varianten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AF200"/>
  <sheetViews>
    <sheetView showGridLines="0" tabSelected="1" zoomScaleNormal="100" workbookViewId="0">
      <pane xSplit="5" ySplit="3" topLeftCell="F35" activePane="bottomRight" state="frozen"/>
      <selection pane="topRight" activeCell="F1" sqref="F1"/>
      <selection pane="bottomLeft" activeCell="A4" sqref="A4"/>
      <selection pane="bottomRight" activeCell="C37" sqref="C37"/>
    </sheetView>
  </sheetViews>
  <sheetFormatPr defaultColWidth="8.6640625" defaultRowHeight="14.4" x14ac:dyDescent="0.3"/>
  <cols>
    <col min="1" max="1" width="14" customWidth="1"/>
    <col min="2" max="2" width="28" customWidth="1"/>
    <col min="3" max="3" width="13" customWidth="1"/>
    <col min="4" max="4" width="16" hidden="1" customWidth="1"/>
    <col min="5" max="5" width="10" hidden="1" customWidth="1"/>
    <col min="6" max="6" width="18" customWidth="1"/>
    <col min="7" max="7" width="17" customWidth="1"/>
    <col min="8" max="8" width="42" customWidth="1"/>
    <col min="9" max="9" width="14" hidden="1" customWidth="1"/>
    <col min="10" max="10" width="22.44140625" hidden="1" customWidth="1"/>
    <col min="11" max="11" width="20" hidden="1" customWidth="1"/>
    <col min="12" max="14" width="13" hidden="1" customWidth="1"/>
    <col min="15" max="15" width="22" customWidth="1"/>
    <col min="16" max="16" width="14" customWidth="1"/>
    <col min="17" max="18" width="13" customWidth="1"/>
    <col min="19" max="19" width="15" hidden="1" customWidth="1"/>
    <col min="20" max="21" width="13" hidden="1" customWidth="1"/>
    <col min="22" max="22" width="15" hidden="1" customWidth="1"/>
    <col min="23" max="24" width="12" hidden="1" customWidth="1"/>
    <col min="25" max="25" width="10" customWidth="1"/>
    <col min="26" max="26" width="14" hidden="1" customWidth="1"/>
    <col min="27" max="27" width="13" hidden="1" customWidth="1"/>
    <col min="28" max="28" width="9" customWidth="1"/>
    <col min="29" max="29" width="28" hidden="1" customWidth="1"/>
    <col min="30" max="30" width="36" hidden="1" customWidth="1"/>
    <col min="31" max="31" width="15" hidden="1" customWidth="1"/>
    <col min="32" max="32" width="18" hidden="1" customWidth="1"/>
  </cols>
  <sheetData>
    <row r="1" spans="1:32" ht="25.5" customHeight="1" x14ac:dyDescent="0.3">
      <c r="A1" s="63" t="s">
        <v>488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</row>
    <row r="3" spans="1:32" ht="36" customHeight="1" x14ac:dyDescent="0.3">
      <c r="A3" s="7" t="s">
        <v>457</v>
      </c>
      <c r="B3" s="7" t="s">
        <v>458</v>
      </c>
      <c r="C3" s="7" t="s">
        <v>461</v>
      </c>
      <c r="D3" s="7" t="s">
        <v>97</v>
      </c>
      <c r="E3" s="7" t="s">
        <v>98</v>
      </c>
      <c r="F3" s="7" t="s">
        <v>94</v>
      </c>
      <c r="G3" s="7" t="s">
        <v>95</v>
      </c>
      <c r="H3" s="7" t="s">
        <v>96</v>
      </c>
      <c r="I3" s="7" t="s">
        <v>93</v>
      </c>
      <c r="J3" s="7" t="s">
        <v>99</v>
      </c>
      <c r="K3" s="7" t="s">
        <v>100</v>
      </c>
      <c r="L3" s="7" t="s">
        <v>489</v>
      </c>
      <c r="M3" s="7" t="s">
        <v>102</v>
      </c>
      <c r="N3" s="7" t="s">
        <v>103</v>
      </c>
      <c r="O3" s="7" t="s">
        <v>490</v>
      </c>
      <c r="P3" s="7" t="s">
        <v>491</v>
      </c>
      <c r="Q3" s="7" t="s">
        <v>492</v>
      </c>
      <c r="R3" s="7" t="s">
        <v>493</v>
      </c>
      <c r="S3" s="7" t="s">
        <v>494</v>
      </c>
      <c r="T3" s="7" t="s">
        <v>495</v>
      </c>
      <c r="U3" s="7" t="s">
        <v>496</v>
      </c>
      <c r="V3" s="7" t="s">
        <v>497</v>
      </c>
      <c r="W3" s="7" t="s">
        <v>498</v>
      </c>
      <c r="X3" s="7" t="s">
        <v>499</v>
      </c>
      <c r="Y3" s="7" t="s">
        <v>500</v>
      </c>
      <c r="Z3" s="7" t="s">
        <v>501</v>
      </c>
      <c r="AA3" s="7" t="s">
        <v>502</v>
      </c>
      <c r="AB3" s="7" t="s">
        <v>503</v>
      </c>
      <c r="AC3" s="7" t="s">
        <v>504</v>
      </c>
      <c r="AD3" s="7" t="s">
        <v>505</v>
      </c>
      <c r="AE3" s="7" t="s">
        <v>506</v>
      </c>
      <c r="AF3" s="7" t="s">
        <v>507</v>
      </c>
    </row>
    <row r="4" spans="1:32" ht="26.4" customHeight="1" x14ac:dyDescent="0.3">
      <c r="A4" s="15" t="s">
        <v>464</v>
      </c>
      <c r="B4" s="17" t="str">
        <f t="shared" ref="B4:B35" si="0">IF(A4="","",IFERROR(INDEX(tbl_Proj_Naam,MATCH(A4,tbl_Proj_ID,0)),"—"))</f>
        <v>Maasstraat - Dordrecht</v>
      </c>
      <c r="C4" s="38">
        <f t="shared" ref="C4:C35" si="1">IF(A4="","",IFERROR(INDEX(tbl_Proj_GSU,MATCH(A4,tbl_Proj_ID,0)),""))</f>
        <v>46405</v>
      </c>
      <c r="D4" s="17" t="str">
        <f t="shared" ref="D4:D35" si="2">IF(A4="","",IFERROR(INDEX(tbl_Proj_Rt,MATCH(A4,tbl_Proj_ID,0)),""))</f>
        <v>Netgedreven</v>
      </c>
      <c r="E4" s="17" t="str">
        <f t="shared" ref="E4:E35" si="3">IF(A4="","",IFERROR(INDEX(tbl_Proj_Vt,MATCH(A4,tbl_Proj_ID,0)),""))</f>
        <v>OidK</v>
      </c>
      <c r="F4" s="15" t="s">
        <v>77</v>
      </c>
      <c r="G4" s="15" t="s">
        <v>309</v>
      </c>
      <c r="H4" s="15" t="s">
        <v>310</v>
      </c>
      <c r="I4" s="17" t="str">
        <f t="shared" ref="I4:I35" si="4">IF(OR(F4="",H4=""),"",IFERROR(INDEX(tbl_Keuzes_ItemID,MATCH(LEFT(F4,1)&amp;"|"&amp;G4&amp;"|"&amp;H4,tbl_Keuzes_Key,0)),""))</f>
        <v>H-G-WO-NG</v>
      </c>
      <c r="J4" s="18">
        <f>IFERROR(IF(I4="","",VLOOKUP(I4,Normtijden_Config!$A$4:$S$55,7,FALSE())),"")</f>
        <v>5</v>
      </c>
      <c r="K4" s="17" t="str">
        <f>IFERROR(IF(I4="","",VLOOKUP(I4,Normtijden_Config!$A$4:$S$55,8,FALSE())),"")</f>
        <v>Warme_Overdracht</v>
      </c>
      <c r="L4" s="18">
        <f>IF(I4="","",IFERROR(  IF(VLOOKUP(I4,Normtijden_Config!$A$4:$S$55,9,FALSE())&lt;&gt;"",     VLOOKUP(I4,Normtijden_Config!$A$4:$S$55,9,FALSE()),     IFERROR(-INDEX(tbl_Offsets_Wd,MATCH(K4&amp;"|"&amp;D4&amp;"|"&amp;E4,tbl_Offsets_Key,0)),"")),""))</f>
        <v>185</v>
      </c>
      <c r="M4" s="17" t="b">
        <f>IFERROR(IF(I4="","",VLOOKUP(I4,Normtijden_Config!$A$4:$S$55,10,FALSE())),"")</f>
        <v>0</v>
      </c>
      <c r="N4" s="17" t="b">
        <f>IFERROR(IF(I4="","",VLOOKUP(I4,Normtijden_Config!$A$4:$S$55,11,FALSE())),"")</f>
        <v>1</v>
      </c>
      <c r="O4" s="15" t="s">
        <v>68</v>
      </c>
      <c r="P4" s="15" t="s">
        <v>60</v>
      </c>
      <c r="Q4" s="39">
        <v>46096</v>
      </c>
      <c r="R4" s="39">
        <v>46120</v>
      </c>
      <c r="S4" s="38">
        <f t="shared" ref="S4:S35" si="5">IF(OR(C4="",L4=""),"",WORKDAY(C4,-L4))</f>
        <v>46146</v>
      </c>
      <c r="T4" s="38">
        <f t="shared" ref="T4:T35" si="6">IF(OR(S4="",J4=""),"",WORKDAY(S4,-J4))</f>
        <v>46139</v>
      </c>
      <c r="U4" s="38">
        <f t="shared" ref="U4:U35" ca="1" si="7">IF(R4&lt;&gt;"",R4,IF(AND(Q4&lt;&gt;"",ISNUMBER(J4)),WORKDAY(Q4,J4),IF(AND(P4="Nodig",ISNUMBER(J4)),WORKDAY(TODAY(),J4),"")))</f>
        <v>46120</v>
      </c>
      <c r="V4" s="38">
        <f t="shared" ref="V4:V35" si="8">IF(OR(P4="Afgerond",P4="Goedgekeurd",P4="N.v.t"),0,IF(OR(U4="",L4=""),0,WORKDAY(U4,L4)))</f>
        <v>0</v>
      </c>
      <c r="W4" s="18" t="str">
        <f t="shared" ref="W4:W35" ca="1" si="9">IF(P4="N.v.t","",IF(OR(P4="Afgerond",P4="Goedgekeurd"),"✓",IF(J4="","n.v.t.",IF(Q4="",J4,J4-NETWORKDAYS(Q4,TODAY())+1))))</f>
        <v>✓</v>
      </c>
      <c r="X4" s="17" t="str">
        <f t="shared" ref="X4:X35" ca="1" si="10">IF(OR(U4="",S4=""),"ONBEKEND",IF(U4&lt;=S4,"JA",IF(U4&lt;=C4,"KRAP","NEE")))</f>
        <v>JA</v>
      </c>
      <c r="Y4" s="17" t="b">
        <f t="shared" ref="Y4:Y35" ca="1" si="11">IF(A4="",FALSE(),OR(X4="KRAP",AND(P4="Nodig",IFERROR(TODAY()&gt;=T4-10,FALSE())),AND(P4="Ingediend",ISNUMBER(W4),W4&lt;=5,W4&gt;0),P4="Afgewezen"))</f>
        <v>0</v>
      </c>
      <c r="Z4" s="17" t="b">
        <f t="shared" ref="Z4:Z35" ca="1" si="12">IF(A4="",FALSE(),AND(M4=TRUE(),OR(X4="NEE",AND(ISNUMBER(W4),W4&lt;0))))</f>
        <v>0</v>
      </c>
      <c r="AA4" s="17" t="b">
        <f t="shared" ref="AA4:AA35" ca="1" si="13">IF(A4="",FALSE(),AND(N4=TRUE(),OR(P4="Nodig",P4="Ingediend",P4="Afgewezen"),IFERROR(TODAY()&gt;S4,FALSE())))</f>
        <v>0</v>
      </c>
      <c r="AB4" s="20" t="str">
        <f t="shared" ref="AB4:AB35" ca="1" si="14">IF(A4="","",IF(P4="N.v.t","⚪",IF(OR(P4="Afgerond",P4="Goedgekeurd"),"🟢",IF(Z4=TRUE(),"🔴",IF(AA4=TRUE(),"🔴",IF(Y4=TRUE(),"🟠",IF(AND(F4="G-Schouw",J4=""),IF(P4="Ingediend","🟠",IF(AND(C4&lt;&gt;"",TODAY()&gt;C4-28),"🔴","🟠")),"🟢")))))))</f>
        <v>🟢</v>
      </c>
      <c r="AC4" s="15"/>
      <c r="AD4" s="15"/>
      <c r="AE4" s="21"/>
      <c r="AF4" s="22"/>
    </row>
    <row r="5" spans="1:32" ht="23.25" customHeight="1" x14ac:dyDescent="0.3">
      <c r="A5" s="15" t="s">
        <v>464</v>
      </c>
      <c r="B5" s="17" t="str">
        <f t="shared" si="0"/>
        <v>Maasstraat - Dordrecht</v>
      </c>
      <c r="C5" s="38">
        <f t="shared" si="1"/>
        <v>46405</v>
      </c>
      <c r="D5" s="17" t="str">
        <f t="shared" si="2"/>
        <v>Netgedreven</v>
      </c>
      <c r="E5" s="17" t="str">
        <f t="shared" si="3"/>
        <v>OidK</v>
      </c>
      <c r="F5" s="15" t="s">
        <v>43</v>
      </c>
      <c r="G5" s="15" t="s">
        <v>120</v>
      </c>
      <c r="H5" s="15" t="s">
        <v>135</v>
      </c>
      <c r="I5" s="17" t="str">
        <f t="shared" si="4"/>
        <v>A-VO-N2T</v>
      </c>
      <c r="J5" s="18">
        <f>IFERROR(IF(I5="","",VLOOKUP(I5,Normtijden_Config!$A$4:$S$55,7,FALSE())),"")</f>
        <v>5</v>
      </c>
      <c r="K5" s="17" t="str">
        <f>IFERROR(IF(I5="","",VLOOKUP(I5,Normtijden_Config!$A$4:$S$55,8,FALSE())),"")</f>
        <v>VO_Einde</v>
      </c>
      <c r="L5" s="18">
        <f>IF(I5="","",IFERROR(  IF(VLOOKUP(I5,Normtijden_Config!$A$4:$S$55,9,FALSE())&lt;&gt;"",     VLOOKUP(I5,Normtijden_Config!$A$4:$S$55,9,FALSE()),     IFERROR(-INDEX(tbl_Offsets_Wd,MATCH(K5&amp;"|"&amp;D5&amp;"|"&amp;E5,tbl_Offsets_Key,0)),"")),""))</f>
        <v>90</v>
      </c>
      <c r="M5" s="17" t="b">
        <f>IFERROR(IF(I5="","",VLOOKUP(I5,Normtijden_Config!$A$4:$S$55,10,FALSE())),"")</f>
        <v>0</v>
      </c>
      <c r="N5" s="17" t="b">
        <f>IFERROR(IF(I5="","",VLOOKUP(I5,Normtijden_Config!$A$4:$S$55,11,FALSE())),"")</f>
        <v>0</v>
      </c>
      <c r="O5" s="15" t="s">
        <v>468</v>
      </c>
      <c r="P5" s="15" t="s">
        <v>47</v>
      </c>
      <c r="Q5" s="19">
        <v>46136</v>
      </c>
      <c r="R5" s="39"/>
      <c r="S5" s="38">
        <f t="shared" si="5"/>
        <v>46279</v>
      </c>
      <c r="T5" s="38">
        <f t="shared" si="6"/>
        <v>46272</v>
      </c>
      <c r="U5" s="38">
        <f t="shared" ca="1" si="7"/>
        <v>46143</v>
      </c>
      <c r="V5" s="38">
        <f t="shared" ca="1" si="8"/>
        <v>46269</v>
      </c>
      <c r="W5" s="18">
        <f t="shared" ca="1" si="9"/>
        <v>5</v>
      </c>
      <c r="X5" s="17" t="str">
        <f t="shared" ca="1" si="10"/>
        <v>JA</v>
      </c>
      <c r="Y5" s="17" t="b">
        <f t="shared" ca="1" si="11"/>
        <v>1</v>
      </c>
      <c r="Z5" s="17" t="b">
        <f t="shared" ca="1" si="12"/>
        <v>0</v>
      </c>
      <c r="AA5" s="17" t="b">
        <f t="shared" ca="1" si="13"/>
        <v>0</v>
      </c>
      <c r="AB5" s="20" t="str">
        <f t="shared" ca="1" si="14"/>
        <v>🟠</v>
      </c>
      <c r="AC5" s="15"/>
      <c r="AD5" s="15"/>
      <c r="AE5" s="21">
        <v>46136.545972222222</v>
      </c>
      <c r="AF5" s="22" t="s">
        <v>508</v>
      </c>
    </row>
    <row r="6" spans="1:32" ht="23.25" customHeight="1" x14ac:dyDescent="0.3">
      <c r="A6" s="15" t="s">
        <v>464</v>
      </c>
      <c r="B6" s="17" t="str">
        <f t="shared" si="0"/>
        <v>Maasstraat - Dordrecht</v>
      </c>
      <c r="C6" s="38">
        <f t="shared" si="1"/>
        <v>46405</v>
      </c>
      <c r="D6" s="17" t="str">
        <f t="shared" si="2"/>
        <v>Netgedreven</v>
      </c>
      <c r="E6" s="17" t="str">
        <f t="shared" si="3"/>
        <v>OidK</v>
      </c>
      <c r="F6" s="15" t="s">
        <v>43</v>
      </c>
      <c r="G6" s="15" t="s">
        <v>120</v>
      </c>
      <c r="H6" s="15" t="s">
        <v>121</v>
      </c>
      <c r="I6" s="17" t="str">
        <f t="shared" si="4"/>
        <v>A-VO-HIST</v>
      </c>
      <c r="J6" s="18">
        <f>IFERROR(IF(I6="","",VLOOKUP(I6,Normtijden_Config!$A$4:$S$55,7,FALSE())),"")</f>
        <v>20</v>
      </c>
      <c r="K6" s="17" t="str">
        <f>IFERROR(IF(I6="","",VLOOKUP(I6,Normtijden_Config!$A$4:$S$55,8,FALSE())),"")</f>
        <v>VO_Einde</v>
      </c>
      <c r="L6" s="18">
        <f>IF(I6="","",IFERROR(  IF(VLOOKUP(I6,Normtijden_Config!$A$4:$S$55,9,FALSE())&lt;&gt;"",     VLOOKUP(I6,Normtijden_Config!$A$4:$S$55,9,FALSE()),     IFERROR(-INDEX(tbl_Offsets_Wd,MATCH(K6&amp;"|"&amp;D6&amp;"|"&amp;E6,tbl_Offsets_Key,0)),"")),""))</f>
        <v>90</v>
      </c>
      <c r="M6" s="17" t="b">
        <f>IFERROR(IF(I6="","",VLOOKUP(I6,Normtijden_Config!$A$4:$S$55,10,FALSE())),"")</f>
        <v>1</v>
      </c>
      <c r="N6" s="17" t="b">
        <f>IFERROR(IF(I6="","",VLOOKUP(I6,Normtijden_Config!$A$4:$S$55,11,FALSE())),"")</f>
        <v>0</v>
      </c>
      <c r="O6" s="15" t="s">
        <v>468</v>
      </c>
      <c r="P6" s="15" t="s">
        <v>47</v>
      </c>
      <c r="Q6" s="39">
        <v>46135</v>
      </c>
      <c r="R6" s="39"/>
      <c r="S6" s="38">
        <f t="shared" si="5"/>
        <v>46279</v>
      </c>
      <c r="T6" s="38">
        <f t="shared" si="6"/>
        <v>46251</v>
      </c>
      <c r="U6" s="38">
        <f t="shared" ca="1" si="7"/>
        <v>46163</v>
      </c>
      <c r="V6" s="38">
        <f t="shared" ca="1" si="8"/>
        <v>46289</v>
      </c>
      <c r="W6" s="18">
        <f t="shared" ca="1" si="9"/>
        <v>19</v>
      </c>
      <c r="X6" s="17" t="str">
        <f t="shared" ca="1" si="10"/>
        <v>JA</v>
      </c>
      <c r="Y6" s="17" t="b">
        <f t="shared" ca="1" si="11"/>
        <v>0</v>
      </c>
      <c r="Z6" s="17" t="b">
        <f t="shared" ca="1" si="12"/>
        <v>0</v>
      </c>
      <c r="AA6" s="17" t="b">
        <f t="shared" ca="1" si="13"/>
        <v>0</v>
      </c>
      <c r="AB6" s="20" t="str">
        <f t="shared" ca="1" si="14"/>
        <v>🟢</v>
      </c>
      <c r="AC6" s="15"/>
      <c r="AD6" s="15"/>
      <c r="AE6" s="21">
        <v>46135.449201388888</v>
      </c>
      <c r="AF6" s="22" t="s">
        <v>508</v>
      </c>
    </row>
    <row r="7" spans="1:32" ht="26.4" customHeight="1" x14ac:dyDescent="0.3">
      <c r="A7" s="15" t="s">
        <v>464</v>
      </c>
      <c r="B7" s="17" t="str">
        <f t="shared" si="0"/>
        <v>Maasstraat - Dordrecht</v>
      </c>
      <c r="C7" s="38">
        <f t="shared" si="1"/>
        <v>46405</v>
      </c>
      <c r="D7" s="17" t="str">
        <f t="shared" si="2"/>
        <v>Netgedreven</v>
      </c>
      <c r="E7" s="17" t="str">
        <f t="shared" si="3"/>
        <v>OidK</v>
      </c>
      <c r="F7" s="15" t="s">
        <v>50</v>
      </c>
      <c r="G7" s="15" t="s">
        <v>158</v>
      </c>
      <c r="H7" s="15" t="s">
        <v>166</v>
      </c>
      <c r="I7" s="17" t="str">
        <f t="shared" si="4"/>
        <v>B-BOD-NG-O</v>
      </c>
      <c r="J7" s="18">
        <f>IFERROR(IF(I7="","",VLOOKUP(I7,Normtijden_Config!$A$4:$S$55,7,FALSE())),"")</f>
        <v>20</v>
      </c>
      <c r="K7" s="17" t="str">
        <f>IFERROR(IF(I7="","",VLOOKUP(I7,Normtijden_Config!$A$4:$S$55,8,FALSE())),"")</f>
        <v>Warme_Overdracht</v>
      </c>
      <c r="L7" s="18">
        <f>IF(I7="","",IFERROR(  IF(VLOOKUP(I7,Normtijden_Config!$A$4:$S$55,9,FALSE())&lt;&gt;"",     VLOOKUP(I7,Normtijden_Config!$A$4:$S$55,9,FALSE()),     IFERROR(-INDEX(tbl_Offsets_Wd,MATCH(K7&amp;"|"&amp;D7&amp;"|"&amp;E7,tbl_Offsets_Key,0)),"")),""))</f>
        <v>185</v>
      </c>
      <c r="M7" s="17" t="b">
        <f>IFERROR(IF(I7="","",VLOOKUP(I7,Normtijden_Config!$A$4:$S$55,10,FALSE())),"")</f>
        <v>1</v>
      </c>
      <c r="N7" s="17" t="b">
        <f>IFERROR(IF(I7="","",VLOOKUP(I7,Normtijden_Config!$A$4:$S$55,11,FALSE())),"")</f>
        <v>0</v>
      </c>
      <c r="O7" s="15" t="s">
        <v>73</v>
      </c>
      <c r="P7" s="15" t="s">
        <v>47</v>
      </c>
      <c r="Q7" s="39">
        <v>46122</v>
      </c>
      <c r="R7" s="39"/>
      <c r="S7" s="38">
        <f t="shared" si="5"/>
        <v>46146</v>
      </c>
      <c r="T7" s="38">
        <f t="shared" si="6"/>
        <v>46118</v>
      </c>
      <c r="U7" s="38">
        <f t="shared" ca="1" si="7"/>
        <v>46150</v>
      </c>
      <c r="V7" s="38">
        <f t="shared" ca="1" si="8"/>
        <v>46409</v>
      </c>
      <c r="W7" s="18">
        <f t="shared" ca="1" si="9"/>
        <v>10</v>
      </c>
      <c r="X7" s="17" t="str">
        <f t="shared" ca="1" si="10"/>
        <v>KRAP</v>
      </c>
      <c r="Y7" s="17" t="b">
        <f t="shared" ca="1" si="11"/>
        <v>1</v>
      </c>
      <c r="Z7" s="17" t="b">
        <f t="shared" ca="1" si="12"/>
        <v>0</v>
      </c>
      <c r="AA7" s="17" t="b">
        <f t="shared" ca="1" si="13"/>
        <v>0</v>
      </c>
      <c r="AB7" s="20" t="str">
        <f t="shared" ca="1" si="14"/>
        <v>🟠</v>
      </c>
      <c r="AC7" s="15"/>
      <c r="AD7" s="15"/>
      <c r="AE7" s="21"/>
      <c r="AF7" s="22"/>
    </row>
    <row r="8" spans="1:32" ht="26.4" x14ac:dyDescent="0.3">
      <c r="A8" s="15" t="s">
        <v>464</v>
      </c>
      <c r="B8" s="17" t="str">
        <f t="shared" si="0"/>
        <v>Maasstraat - Dordrecht</v>
      </c>
      <c r="C8" s="38">
        <f t="shared" si="1"/>
        <v>46405</v>
      </c>
      <c r="D8" s="17" t="str">
        <f t="shared" si="2"/>
        <v>Netgedreven</v>
      </c>
      <c r="E8" s="17" t="str">
        <f t="shared" si="3"/>
        <v>OidK</v>
      </c>
      <c r="F8" s="15" t="s">
        <v>56</v>
      </c>
      <c r="G8" s="15" t="s">
        <v>199</v>
      </c>
      <c r="H8" s="15" t="s">
        <v>200</v>
      </c>
      <c r="I8" s="17" t="str">
        <f t="shared" si="4"/>
        <v>C-TRC-NG-O</v>
      </c>
      <c r="J8" s="18">
        <f>IFERROR(IF(I8="","",VLOOKUP(I8,Normtijden_Config!$A$4:$S$55,7,FALSE())),"")</f>
        <v>75</v>
      </c>
      <c r="K8" s="17" t="str">
        <f>IFERROR(IF(I8="","",VLOOKUP(I8,Normtijden_Config!$A$4:$S$55,8,FALSE())),"")</f>
        <v>VO_Einde</v>
      </c>
      <c r="L8" s="18">
        <f>IF(I8="","",IFERROR(  IF(VLOOKUP(I8,Normtijden_Config!$A$4:$S$55,9,FALSE())&lt;&gt;"",     VLOOKUP(I8,Normtijden_Config!$A$4:$S$55,9,FALSE()),     IFERROR(-INDEX(tbl_Offsets_Wd,MATCH(K8&amp;"|"&amp;D8&amp;"|"&amp;E8,tbl_Offsets_Key,0)),"")),""))</f>
        <v>90</v>
      </c>
      <c r="M8" s="17" t="b">
        <f>IFERROR(IF(I8="","",VLOOKUP(I8,Normtijden_Config!$A$4:$S$55,10,FALSE())),"")</f>
        <v>1</v>
      </c>
      <c r="N8" s="17" t="b">
        <f>IFERROR(IF(I8="","",VLOOKUP(I8,Normtijden_Config!$A$4:$S$55,11,FALSE())),"")</f>
        <v>0</v>
      </c>
      <c r="O8" s="15" t="s">
        <v>73</v>
      </c>
      <c r="P8" s="15" t="s">
        <v>40</v>
      </c>
      <c r="Q8" s="39"/>
      <c r="R8" s="39"/>
      <c r="S8" s="38">
        <f t="shared" si="5"/>
        <v>46279</v>
      </c>
      <c r="T8" s="38">
        <f t="shared" si="6"/>
        <v>46174</v>
      </c>
      <c r="U8" s="38">
        <f t="shared" ca="1" si="7"/>
        <v>46241</v>
      </c>
      <c r="V8" s="38">
        <f t="shared" ca="1" si="8"/>
        <v>46367</v>
      </c>
      <c r="W8" s="18">
        <f t="shared" ca="1" si="9"/>
        <v>75</v>
      </c>
      <c r="X8" s="17" t="str">
        <f t="shared" ca="1" si="10"/>
        <v>JA</v>
      </c>
      <c r="Y8" s="17" t="b">
        <f t="shared" ca="1" si="11"/>
        <v>0</v>
      </c>
      <c r="Z8" s="17" t="b">
        <f t="shared" ca="1" si="12"/>
        <v>0</v>
      </c>
      <c r="AA8" s="17" t="b">
        <f t="shared" ca="1" si="13"/>
        <v>0</v>
      </c>
      <c r="AB8" s="20" t="str">
        <f t="shared" ca="1" si="14"/>
        <v>🟢</v>
      </c>
      <c r="AC8" s="15"/>
      <c r="AD8" s="15"/>
      <c r="AE8" s="21"/>
      <c r="AF8" s="22"/>
    </row>
    <row r="9" spans="1:32" ht="15" customHeight="1" x14ac:dyDescent="0.3">
      <c r="A9" s="15" t="s">
        <v>464</v>
      </c>
      <c r="B9" s="17" t="str">
        <f t="shared" si="0"/>
        <v>Maasstraat - Dordrecht</v>
      </c>
      <c r="C9" s="38">
        <f t="shared" si="1"/>
        <v>46405</v>
      </c>
      <c r="D9" s="17" t="str">
        <f t="shared" si="2"/>
        <v>Netgedreven</v>
      </c>
      <c r="E9" s="17" t="str">
        <f t="shared" si="3"/>
        <v>OidK</v>
      </c>
      <c r="F9" s="15" t="s">
        <v>77</v>
      </c>
      <c r="G9" s="15" t="s">
        <v>260</v>
      </c>
      <c r="H9" s="15" t="s">
        <v>261</v>
      </c>
      <c r="I9" s="17" t="str">
        <f t="shared" si="4"/>
        <v>H-G-VO</v>
      </c>
      <c r="J9" s="18">
        <f>IFERROR(IF(I9="","",VLOOKUP(I9,Normtijden_Config!$A$4:$S$55,7,FALSE())),"")</f>
        <v>0</v>
      </c>
      <c r="K9" s="17" t="str">
        <f>IFERROR(IF(I9="","",VLOOKUP(I9,Normtijden_Config!$A$4:$S$55,8,FALSE())),"")</f>
        <v>VO_Einde</v>
      </c>
      <c r="L9" s="18">
        <f>IF(I9="","",IFERROR(  IF(VLOOKUP(I9,Normtijden_Config!$A$4:$S$55,9,FALSE())&lt;&gt;"",     VLOOKUP(I9,Normtijden_Config!$A$4:$S$55,9,FALSE()),     IFERROR(-INDEX(tbl_Offsets_Wd,MATCH(K9&amp;"|"&amp;D9&amp;"|"&amp;E9,tbl_Offsets_Key,0)),"")),""))</f>
        <v>90</v>
      </c>
      <c r="M9" s="17" t="b">
        <f>IFERROR(IF(I9="","",VLOOKUP(I9,Normtijden_Config!$A$4:$S$55,10,FALSE())),"")</f>
        <v>0</v>
      </c>
      <c r="N9" s="17" t="b">
        <f>IFERROR(IF(I9="","",VLOOKUP(I9,Normtijden_Config!$A$4:$S$55,11,FALSE())),"")</f>
        <v>1</v>
      </c>
      <c r="O9" s="15" t="s">
        <v>68</v>
      </c>
      <c r="P9" s="15" t="s">
        <v>40</v>
      </c>
      <c r="Q9" s="39"/>
      <c r="R9" s="39"/>
      <c r="S9" s="38">
        <f t="shared" si="5"/>
        <v>46279</v>
      </c>
      <c r="T9" s="38">
        <f t="shared" si="6"/>
        <v>46279</v>
      </c>
      <c r="U9" s="38">
        <f t="shared" ca="1" si="7"/>
        <v>46136</v>
      </c>
      <c r="V9" s="38">
        <f t="shared" ca="1" si="8"/>
        <v>46262</v>
      </c>
      <c r="W9" s="18">
        <f t="shared" ca="1" si="9"/>
        <v>0</v>
      </c>
      <c r="X9" s="17" t="str">
        <f t="shared" ca="1" si="10"/>
        <v>JA</v>
      </c>
      <c r="Y9" s="17" t="b">
        <f t="shared" ca="1" si="11"/>
        <v>0</v>
      </c>
      <c r="Z9" s="17" t="b">
        <f t="shared" ca="1" si="12"/>
        <v>0</v>
      </c>
      <c r="AA9" s="17" t="b">
        <f t="shared" ca="1" si="13"/>
        <v>0</v>
      </c>
      <c r="AB9" s="20" t="str">
        <f t="shared" ca="1" si="14"/>
        <v>🟢</v>
      </c>
      <c r="AC9" s="15"/>
      <c r="AD9" s="15"/>
      <c r="AE9" s="21"/>
      <c r="AF9" s="22"/>
    </row>
    <row r="10" spans="1:32" ht="15" customHeight="1" x14ac:dyDescent="0.3">
      <c r="A10" s="15" t="s">
        <v>464</v>
      </c>
      <c r="B10" s="17" t="str">
        <f t="shared" si="0"/>
        <v>Maasstraat - Dordrecht</v>
      </c>
      <c r="C10" s="38">
        <f t="shared" si="1"/>
        <v>46405</v>
      </c>
      <c r="D10" s="17" t="str">
        <f t="shared" si="2"/>
        <v>Netgedreven</v>
      </c>
      <c r="E10" s="17" t="str">
        <f t="shared" si="3"/>
        <v>OidK</v>
      </c>
      <c r="F10" s="15" t="s">
        <v>77</v>
      </c>
      <c r="G10" s="15" t="s">
        <v>266</v>
      </c>
      <c r="H10" s="15" t="s">
        <v>267</v>
      </c>
      <c r="I10" s="17" t="str">
        <f t="shared" si="4"/>
        <v>H-G-DO</v>
      </c>
      <c r="J10" s="18">
        <f>IFERROR(IF(I10="","",VLOOKUP(I10,Normtijden_Config!$A$4:$S$55,7,FALSE())),"")</f>
        <v>0</v>
      </c>
      <c r="K10" s="17" t="str">
        <f>IFERROR(IF(I10="","",VLOOKUP(I10,Normtijden_Config!$A$4:$S$55,8,FALSE())),"")</f>
        <v>DO_Einde</v>
      </c>
      <c r="L10" s="18">
        <f>IF(I10="","",IFERROR(  IF(VLOOKUP(I10,Normtijden_Config!$A$4:$S$55,9,FALSE())&lt;&gt;"",     VLOOKUP(I10,Normtijden_Config!$A$4:$S$55,9,FALSE()),     IFERROR(-INDEX(tbl_Offsets_Wd,MATCH(K10&amp;"|"&amp;D10&amp;"|"&amp;E10,tbl_Offsets_Key,0)),"")),""))</f>
        <v>75</v>
      </c>
      <c r="M10" s="17" t="b">
        <f>IFERROR(IF(I10="","",VLOOKUP(I10,Normtijden_Config!$A$4:$S$55,10,FALSE())),"")</f>
        <v>0</v>
      </c>
      <c r="N10" s="17" t="b">
        <f>IFERROR(IF(I10="","",VLOOKUP(I10,Normtijden_Config!$A$4:$S$55,11,FALSE())),"")</f>
        <v>1</v>
      </c>
      <c r="O10" s="15" t="s">
        <v>68</v>
      </c>
      <c r="P10" s="15" t="s">
        <v>40</v>
      </c>
      <c r="Q10" s="39"/>
      <c r="R10" s="39"/>
      <c r="S10" s="38">
        <f t="shared" si="5"/>
        <v>46300</v>
      </c>
      <c r="T10" s="38">
        <f t="shared" si="6"/>
        <v>46300</v>
      </c>
      <c r="U10" s="38">
        <f t="shared" ca="1" si="7"/>
        <v>46136</v>
      </c>
      <c r="V10" s="38">
        <f t="shared" ca="1" si="8"/>
        <v>46241</v>
      </c>
      <c r="W10" s="18">
        <f t="shared" ca="1" si="9"/>
        <v>0</v>
      </c>
      <c r="X10" s="17" t="str">
        <f t="shared" ca="1" si="10"/>
        <v>JA</v>
      </c>
      <c r="Y10" s="17" t="b">
        <f t="shared" ca="1" si="11"/>
        <v>0</v>
      </c>
      <c r="Z10" s="17" t="b">
        <f t="shared" ca="1" si="12"/>
        <v>0</v>
      </c>
      <c r="AA10" s="17" t="b">
        <f t="shared" ca="1" si="13"/>
        <v>0</v>
      </c>
      <c r="AB10" s="20" t="str">
        <f t="shared" ca="1" si="14"/>
        <v>🟢</v>
      </c>
      <c r="AC10" s="15"/>
      <c r="AD10" s="15"/>
      <c r="AE10" s="21"/>
      <c r="AF10" s="22"/>
    </row>
    <row r="11" spans="1:32" ht="15" customHeight="1" x14ac:dyDescent="0.3">
      <c r="A11" s="15" t="s">
        <v>464</v>
      </c>
      <c r="B11" s="17" t="str">
        <f t="shared" si="0"/>
        <v>Maasstraat - Dordrecht</v>
      </c>
      <c r="C11" s="38">
        <f t="shared" si="1"/>
        <v>46405</v>
      </c>
      <c r="D11" s="17" t="str">
        <f t="shared" si="2"/>
        <v>Netgedreven</v>
      </c>
      <c r="E11" s="17" t="str">
        <f t="shared" si="3"/>
        <v>OidK</v>
      </c>
      <c r="F11" s="15" t="s">
        <v>77</v>
      </c>
      <c r="G11" s="15" t="s">
        <v>273</v>
      </c>
      <c r="H11" s="15" t="s">
        <v>279</v>
      </c>
      <c r="I11" s="17" t="str">
        <f t="shared" si="4"/>
        <v>H-G-DOD-NR</v>
      </c>
      <c r="J11" s="18">
        <f>IFERROR(IF(I11="","",VLOOKUP(I11,Normtijden_Config!$A$4:$S$55,7,FALSE())),"")</f>
        <v>15</v>
      </c>
      <c r="K11" s="17" t="str">
        <f>IFERROR(IF(I11="","",VLOOKUP(I11,Normtijden_Config!$A$4:$S$55,8,FALSE())),"")</f>
        <v>DO_Dossier_Einde</v>
      </c>
      <c r="L11" s="18">
        <f>IF(I11="","",IFERROR(  IF(VLOOKUP(I11,Normtijden_Config!$A$4:$S$55,9,FALSE())&lt;&gt;"",     VLOOKUP(I11,Normtijden_Config!$A$4:$S$55,9,FALSE()),     IFERROR(-INDEX(tbl_Offsets_Wd,MATCH(K11&amp;"|"&amp;D11&amp;"|"&amp;E11,tbl_Offsets_Key,0)),"")),""))</f>
        <v>75</v>
      </c>
      <c r="M11" s="17" t="b">
        <f>IFERROR(IF(I11="","",VLOOKUP(I11,Normtijden_Config!$A$4:$S$55,10,FALSE())),"")</f>
        <v>0</v>
      </c>
      <c r="N11" s="17" t="b">
        <f>IFERROR(IF(I11="","",VLOOKUP(I11,Normtijden_Config!$A$4:$S$55,11,FALSE())),"")</f>
        <v>1</v>
      </c>
      <c r="O11" s="15" t="s">
        <v>68</v>
      </c>
      <c r="P11" s="15" t="s">
        <v>40</v>
      </c>
      <c r="Q11" s="39"/>
      <c r="R11" s="39"/>
      <c r="S11" s="38">
        <f t="shared" si="5"/>
        <v>46300</v>
      </c>
      <c r="T11" s="38">
        <f t="shared" si="6"/>
        <v>46279</v>
      </c>
      <c r="U11" s="38">
        <f t="shared" ca="1" si="7"/>
        <v>46157</v>
      </c>
      <c r="V11" s="38">
        <f t="shared" ca="1" si="8"/>
        <v>46262</v>
      </c>
      <c r="W11" s="18">
        <f t="shared" ca="1" si="9"/>
        <v>15</v>
      </c>
      <c r="X11" s="17" t="str">
        <f t="shared" ca="1" si="10"/>
        <v>JA</v>
      </c>
      <c r="Y11" s="17" t="b">
        <f t="shared" ca="1" si="11"/>
        <v>0</v>
      </c>
      <c r="Z11" s="17" t="b">
        <f t="shared" ca="1" si="12"/>
        <v>0</v>
      </c>
      <c r="AA11" s="17" t="b">
        <f t="shared" ca="1" si="13"/>
        <v>0</v>
      </c>
      <c r="AB11" s="20" t="str">
        <f t="shared" ca="1" si="14"/>
        <v>🟢</v>
      </c>
      <c r="AC11" s="15"/>
      <c r="AD11" s="15"/>
      <c r="AE11" s="21"/>
      <c r="AF11" s="22"/>
    </row>
    <row r="12" spans="1:32" ht="23.25" customHeight="1" x14ac:dyDescent="0.3">
      <c r="A12" s="15" t="s">
        <v>464</v>
      </c>
      <c r="B12" s="17" t="str">
        <f t="shared" si="0"/>
        <v>Maasstraat - Dordrecht</v>
      </c>
      <c r="C12" s="38">
        <f t="shared" si="1"/>
        <v>46405</v>
      </c>
      <c r="D12" s="17" t="str">
        <f t="shared" si="2"/>
        <v>Netgedreven</v>
      </c>
      <c r="E12" s="17" t="str">
        <f t="shared" si="3"/>
        <v>OidK</v>
      </c>
      <c r="F12" s="15" t="s">
        <v>61</v>
      </c>
      <c r="G12" s="15" t="s">
        <v>214</v>
      </c>
      <c r="H12" s="15" t="s">
        <v>215</v>
      </c>
      <c r="I12" s="17" t="str">
        <f t="shared" si="4"/>
        <v>D-B-PLAN</v>
      </c>
      <c r="J12" s="18">
        <f>IFERROR(IF(I12="","",VLOOKUP(I12,Normtijden_Config!$A$4:$S$55,7,FALSE())),"")</f>
        <v>20</v>
      </c>
      <c r="K12" s="17" t="str">
        <f>IFERROR(IF(I12="","",VLOOKUP(I12,Normtijden_Config!$A$4:$S$55,8,FALSE())),"")</f>
        <v>VO_Einde</v>
      </c>
      <c r="L12" s="18">
        <f>IF(I12="","",IFERROR(  IF(VLOOKUP(I12,Normtijden_Config!$A$4:$S$55,9,FALSE())&lt;&gt;"",     VLOOKUP(I12,Normtijden_Config!$A$4:$S$55,9,FALSE()),     IFERROR(-INDEX(tbl_Offsets_Wd,MATCH(K12&amp;"|"&amp;D12&amp;"|"&amp;E12,tbl_Offsets_Key,0)),"")),""))</f>
        <v>90</v>
      </c>
      <c r="M12" s="17" t="b">
        <f>IFERROR(IF(I12="","",VLOOKUP(I12,Normtijden_Config!$A$4:$S$55,10,FALSE())),"")</f>
        <v>1</v>
      </c>
      <c r="N12" s="17" t="b">
        <f>IFERROR(IF(I12="","",VLOOKUP(I12,Normtijden_Config!$A$4:$S$55,11,FALSE())),"")</f>
        <v>0</v>
      </c>
      <c r="O12" s="15" t="s">
        <v>45</v>
      </c>
      <c r="P12" s="15" t="s">
        <v>47</v>
      </c>
      <c r="Q12" s="39">
        <v>46135</v>
      </c>
      <c r="R12" s="39"/>
      <c r="S12" s="38">
        <f t="shared" si="5"/>
        <v>46279</v>
      </c>
      <c r="T12" s="38">
        <f t="shared" si="6"/>
        <v>46251</v>
      </c>
      <c r="U12" s="38">
        <f t="shared" ca="1" si="7"/>
        <v>46163</v>
      </c>
      <c r="V12" s="38">
        <f t="shared" ca="1" si="8"/>
        <v>46289</v>
      </c>
      <c r="W12" s="18">
        <f t="shared" ca="1" si="9"/>
        <v>19</v>
      </c>
      <c r="X12" s="17" t="str">
        <f t="shared" ca="1" si="10"/>
        <v>JA</v>
      </c>
      <c r="Y12" s="17" t="b">
        <f t="shared" ca="1" si="11"/>
        <v>0</v>
      </c>
      <c r="Z12" s="17" t="b">
        <f t="shared" ca="1" si="12"/>
        <v>0</v>
      </c>
      <c r="AA12" s="17" t="b">
        <f t="shared" ca="1" si="13"/>
        <v>0</v>
      </c>
      <c r="AB12" s="20" t="str">
        <f t="shared" ca="1" si="14"/>
        <v>🟢</v>
      </c>
      <c r="AC12" s="15"/>
      <c r="AD12" s="15"/>
      <c r="AE12" s="21">
        <v>46135.450578703712</v>
      </c>
      <c r="AF12" s="22" t="s">
        <v>508</v>
      </c>
    </row>
    <row r="13" spans="1:32" ht="23.25" customHeight="1" x14ac:dyDescent="0.3">
      <c r="A13" s="15" t="s">
        <v>464</v>
      </c>
      <c r="B13" s="17" t="str">
        <f t="shared" si="0"/>
        <v>Maasstraat - Dordrecht</v>
      </c>
      <c r="C13" s="38">
        <f t="shared" si="1"/>
        <v>46405</v>
      </c>
      <c r="D13" s="17" t="str">
        <f t="shared" si="2"/>
        <v>Netgedreven</v>
      </c>
      <c r="E13" s="17" t="str">
        <f t="shared" si="3"/>
        <v>OidK</v>
      </c>
      <c r="F13" s="15" t="s">
        <v>77</v>
      </c>
      <c r="G13" s="15" t="s">
        <v>285</v>
      </c>
      <c r="H13" s="15" t="s">
        <v>286</v>
      </c>
      <c r="I13" s="17" t="str">
        <f t="shared" si="4"/>
        <v>H-G-BEG</v>
      </c>
      <c r="J13" s="18">
        <f>IFERROR(IF(I13="","",VLOOKUP(I13,Normtijden_Config!$A$4:$S$55,7,FALSE())),"")</f>
        <v>5</v>
      </c>
      <c r="K13" s="17" t="str">
        <f>IFERROR(IF(I13="","",VLOOKUP(I13,Normtijden_Config!$A$4:$S$55,8,FALSE())),"")</f>
        <v>Begroting_Einde</v>
      </c>
      <c r="L13" s="18">
        <f>IF(I13="","",IFERROR(  IF(VLOOKUP(I13,Normtijden_Config!$A$4:$S$55,9,FALSE())&lt;&gt;"",     VLOOKUP(I13,Normtijden_Config!$A$4:$S$55,9,FALSE()),     IFERROR(-INDEX(tbl_Offsets_Wd,MATCH(K13&amp;"|"&amp;D13&amp;"|"&amp;E13,tbl_Offsets_Key,0)),"")),""))</f>
        <v>35</v>
      </c>
      <c r="M13" s="17" t="b">
        <f>IFERROR(IF(I13="","",VLOOKUP(I13,Normtijden_Config!$A$4:$S$55,10,FALSE())),"")</f>
        <v>0</v>
      </c>
      <c r="N13" s="17" t="b">
        <f>IFERROR(IF(I13="","",VLOOKUP(I13,Normtijden_Config!$A$4:$S$55,11,FALSE())),"")</f>
        <v>1</v>
      </c>
      <c r="O13" s="15" t="s">
        <v>68</v>
      </c>
      <c r="P13" s="15" t="s">
        <v>40</v>
      </c>
      <c r="Q13" s="39"/>
      <c r="R13" s="39"/>
      <c r="S13" s="38">
        <f t="shared" si="5"/>
        <v>46356</v>
      </c>
      <c r="T13" s="38">
        <f t="shared" si="6"/>
        <v>46349</v>
      </c>
      <c r="U13" s="38">
        <f t="shared" ca="1" si="7"/>
        <v>46143</v>
      </c>
      <c r="V13" s="38">
        <f t="shared" ca="1" si="8"/>
        <v>46192</v>
      </c>
      <c r="W13" s="18">
        <f t="shared" ca="1" si="9"/>
        <v>5</v>
      </c>
      <c r="X13" s="17" t="str">
        <f t="shared" ca="1" si="10"/>
        <v>JA</v>
      </c>
      <c r="Y13" s="17" t="b">
        <f t="shared" ca="1" si="11"/>
        <v>0</v>
      </c>
      <c r="Z13" s="17" t="b">
        <f t="shared" ca="1" si="12"/>
        <v>0</v>
      </c>
      <c r="AA13" s="17" t="b">
        <f t="shared" ca="1" si="13"/>
        <v>0</v>
      </c>
      <c r="AB13" s="20" t="str">
        <f t="shared" ca="1" si="14"/>
        <v>🟢</v>
      </c>
      <c r="AC13" s="15"/>
      <c r="AD13" s="15"/>
      <c r="AE13" s="21"/>
      <c r="AF13" s="22"/>
    </row>
    <row r="14" spans="1:32" ht="15" customHeight="1" x14ac:dyDescent="0.3">
      <c r="A14" s="15" t="s">
        <v>464</v>
      </c>
      <c r="B14" s="17" t="str">
        <f t="shared" si="0"/>
        <v>Maasstraat - Dordrecht</v>
      </c>
      <c r="C14" s="38">
        <f t="shared" si="1"/>
        <v>46405</v>
      </c>
      <c r="D14" s="17" t="str">
        <f t="shared" si="2"/>
        <v>Netgedreven</v>
      </c>
      <c r="E14" s="17" t="str">
        <f t="shared" si="3"/>
        <v>OidK</v>
      </c>
      <c r="F14" s="15" t="s">
        <v>77</v>
      </c>
      <c r="G14" s="15" t="s">
        <v>291</v>
      </c>
      <c r="H14" s="15" t="s">
        <v>292</v>
      </c>
      <c r="I14" s="17" t="str">
        <f t="shared" si="4"/>
        <v>H-G-MAT</v>
      </c>
      <c r="J14" s="18">
        <f>IFERROR(IF(I14="","",VLOOKUP(I14,Normtijden_Config!$A$4:$S$55,7,FALSE())),"")</f>
        <v>5</v>
      </c>
      <c r="K14" s="17" t="str">
        <f>IFERROR(IF(I14="","",VLOOKUP(I14,Normtijden_Config!$A$4:$S$55,8,FALSE())),"")</f>
        <v>Materiaal_Einde</v>
      </c>
      <c r="L14" s="18">
        <f>IF(I14="","",IFERROR(  IF(VLOOKUP(I14,Normtijden_Config!$A$4:$S$55,9,FALSE())&lt;&gt;"",     VLOOKUP(I14,Normtijden_Config!$A$4:$S$55,9,FALSE()),     IFERROR(-INDEX(tbl_Offsets_Wd,MATCH(K14&amp;"|"&amp;D14&amp;"|"&amp;E14,tbl_Offsets_Key,0)),"")),""))</f>
        <v>35</v>
      </c>
      <c r="M14" s="17" t="b">
        <f>IFERROR(IF(I14="","",VLOOKUP(I14,Normtijden_Config!$A$4:$S$55,10,FALSE())),"")</f>
        <v>0</v>
      </c>
      <c r="N14" s="17" t="b">
        <f>IFERROR(IF(I14="","",VLOOKUP(I14,Normtijden_Config!$A$4:$S$55,11,FALSE())),"")</f>
        <v>1</v>
      </c>
      <c r="O14" s="15" t="s">
        <v>68</v>
      </c>
      <c r="P14" s="15" t="s">
        <v>40</v>
      </c>
      <c r="Q14" s="39"/>
      <c r="R14" s="39"/>
      <c r="S14" s="38">
        <f t="shared" si="5"/>
        <v>46356</v>
      </c>
      <c r="T14" s="38">
        <f t="shared" si="6"/>
        <v>46349</v>
      </c>
      <c r="U14" s="38">
        <f t="shared" ca="1" si="7"/>
        <v>46143</v>
      </c>
      <c r="V14" s="38">
        <f t="shared" ca="1" si="8"/>
        <v>46192</v>
      </c>
      <c r="W14" s="18">
        <f t="shared" ca="1" si="9"/>
        <v>5</v>
      </c>
      <c r="X14" s="17" t="str">
        <f t="shared" ca="1" si="10"/>
        <v>JA</v>
      </c>
      <c r="Y14" s="17" t="b">
        <f t="shared" ca="1" si="11"/>
        <v>0</v>
      </c>
      <c r="Z14" s="17" t="b">
        <f t="shared" ca="1" si="12"/>
        <v>0</v>
      </c>
      <c r="AA14" s="17" t="b">
        <f t="shared" ca="1" si="13"/>
        <v>0</v>
      </c>
      <c r="AB14" s="20" t="str">
        <f t="shared" ca="1" si="14"/>
        <v>🟢</v>
      </c>
      <c r="AC14" s="15"/>
      <c r="AD14" s="15"/>
      <c r="AE14" s="21"/>
      <c r="AF14" s="22"/>
    </row>
    <row r="15" spans="1:32" ht="15" customHeight="1" x14ac:dyDescent="0.3">
      <c r="A15" s="15" t="s">
        <v>464</v>
      </c>
      <c r="B15" s="17" t="str">
        <f t="shared" si="0"/>
        <v>Maasstraat - Dordrecht</v>
      </c>
      <c r="C15" s="38">
        <f t="shared" si="1"/>
        <v>46405</v>
      </c>
      <c r="D15" s="17" t="str">
        <f t="shared" si="2"/>
        <v>Netgedreven</v>
      </c>
      <c r="E15" s="17" t="str">
        <f t="shared" si="3"/>
        <v>OidK</v>
      </c>
      <c r="F15" s="15" t="s">
        <v>77</v>
      </c>
      <c r="G15" s="15" t="s">
        <v>297</v>
      </c>
      <c r="H15" s="15" t="s">
        <v>298</v>
      </c>
      <c r="I15" s="17" t="str">
        <f t="shared" si="4"/>
        <v>H-G-KO</v>
      </c>
      <c r="J15" s="18">
        <f>IFERROR(IF(I15="","",VLOOKUP(I15,Normtijden_Config!$A$4:$S$55,7,FALSE())),"")</f>
        <v>5</v>
      </c>
      <c r="K15" s="17" t="str">
        <f>IFERROR(IF(I15="","",VLOOKUP(I15,Normtijden_Config!$A$4:$S$55,8,FALSE())),"")</f>
        <v>Kickoff_Einde</v>
      </c>
      <c r="L15" s="18">
        <f>IF(I15="","",IFERROR(  IF(VLOOKUP(I15,Normtijden_Config!$A$4:$S$55,9,FALSE())&lt;&gt;"",     VLOOKUP(I15,Normtijden_Config!$A$4:$S$55,9,FALSE()),     IFERROR(-INDEX(tbl_Offsets_Wd,MATCH(K15&amp;"|"&amp;D15&amp;"|"&amp;E15,tbl_Offsets_Key,0)),"")),""))</f>
        <v>25</v>
      </c>
      <c r="M15" s="17" t="b">
        <f>IFERROR(IF(I15="","",VLOOKUP(I15,Normtijden_Config!$A$4:$S$55,10,FALSE())),"")</f>
        <v>0</v>
      </c>
      <c r="N15" s="17" t="b">
        <f>IFERROR(IF(I15="","",VLOOKUP(I15,Normtijden_Config!$A$4:$S$55,11,FALSE())),"")</f>
        <v>1</v>
      </c>
      <c r="O15" s="15" t="s">
        <v>73</v>
      </c>
      <c r="P15" s="15" t="s">
        <v>40</v>
      </c>
      <c r="Q15" s="39"/>
      <c r="R15" s="39"/>
      <c r="S15" s="38">
        <f t="shared" si="5"/>
        <v>46370</v>
      </c>
      <c r="T15" s="38">
        <f t="shared" si="6"/>
        <v>46363</v>
      </c>
      <c r="U15" s="38">
        <f t="shared" ca="1" si="7"/>
        <v>46143</v>
      </c>
      <c r="V15" s="38">
        <f t="shared" ca="1" si="8"/>
        <v>46178</v>
      </c>
      <c r="W15" s="18">
        <f t="shared" ca="1" si="9"/>
        <v>5</v>
      </c>
      <c r="X15" s="17" t="str">
        <f t="shared" ca="1" si="10"/>
        <v>JA</v>
      </c>
      <c r="Y15" s="17" t="b">
        <f t="shared" ca="1" si="11"/>
        <v>0</v>
      </c>
      <c r="Z15" s="17" t="b">
        <f t="shared" ca="1" si="12"/>
        <v>0</v>
      </c>
      <c r="AA15" s="17" t="b">
        <f t="shared" ca="1" si="13"/>
        <v>0</v>
      </c>
      <c r="AB15" s="20" t="str">
        <f t="shared" ca="1" si="14"/>
        <v>🟢</v>
      </c>
      <c r="AC15" s="15"/>
      <c r="AD15" s="15"/>
      <c r="AE15" s="21"/>
      <c r="AF15" s="22"/>
    </row>
    <row r="16" spans="1:32" ht="26.4" x14ac:dyDescent="0.3">
      <c r="A16" s="15" t="s">
        <v>471</v>
      </c>
      <c r="B16" s="17" t="str">
        <f t="shared" si="0"/>
        <v>Rozensingel Fase 2</v>
      </c>
      <c r="C16" s="38">
        <f t="shared" si="1"/>
        <v>46258</v>
      </c>
      <c r="D16" s="17" t="str">
        <f t="shared" si="2"/>
        <v>Netgedreven</v>
      </c>
      <c r="E16" s="17" t="str">
        <f t="shared" si="3"/>
        <v>NOidK</v>
      </c>
      <c r="F16" s="15" t="s">
        <v>50</v>
      </c>
      <c r="G16" s="15" t="s">
        <v>158</v>
      </c>
      <c r="H16" s="15" t="s">
        <v>163</v>
      </c>
      <c r="I16" s="17" t="str">
        <f t="shared" si="4"/>
        <v>B-BOD-NG-N</v>
      </c>
      <c r="J16" s="18">
        <f>IFERROR(IF(I16="","",VLOOKUP(I16,Normtijden_Config!$A$4:$S$55,7,FALSE())),"")</f>
        <v>20</v>
      </c>
      <c r="K16" s="17" t="str">
        <f>IFERROR(IF(I16="","",VLOOKUP(I16,Normtijden_Config!$A$4:$S$55,8,FALSE())),"")</f>
        <v>VO_Einde</v>
      </c>
      <c r="L16" s="18">
        <f>IF(I16="","",IFERROR(  IF(VLOOKUP(I16,Normtijden_Config!$A$4:$S$55,9,FALSE())&lt;&gt;"",     VLOOKUP(I16,Normtijden_Config!$A$4:$S$55,9,FALSE()),     IFERROR(-INDEX(tbl_Offsets_Wd,MATCH(K16&amp;"|"&amp;D16&amp;"|"&amp;E16,tbl_Offsets_Key,0)),"")),""))</f>
        <v>100</v>
      </c>
      <c r="M16" s="17" t="b">
        <f>IFERROR(IF(I16="","",VLOOKUP(I16,Normtijden_Config!$A$4:$S$55,10,FALSE())),"")</f>
        <v>1</v>
      </c>
      <c r="N16" s="17" t="b">
        <f>IFERROR(IF(I16="","",VLOOKUP(I16,Normtijden_Config!$A$4:$S$55,11,FALSE())),"")</f>
        <v>0</v>
      </c>
      <c r="O16" s="15" t="s">
        <v>68</v>
      </c>
      <c r="P16" s="15" t="s">
        <v>40</v>
      </c>
      <c r="Q16" s="39"/>
      <c r="R16" s="39"/>
      <c r="S16" s="38">
        <f t="shared" si="5"/>
        <v>46118</v>
      </c>
      <c r="T16" s="38">
        <f t="shared" si="6"/>
        <v>46090</v>
      </c>
      <c r="U16" s="38">
        <f t="shared" ca="1" si="7"/>
        <v>46164</v>
      </c>
      <c r="V16" s="38">
        <f t="shared" ca="1" si="8"/>
        <v>46304</v>
      </c>
      <c r="W16" s="18">
        <f t="shared" ca="1" si="9"/>
        <v>20</v>
      </c>
      <c r="X16" s="17" t="str">
        <f t="shared" ca="1" si="10"/>
        <v>KRAP</v>
      </c>
      <c r="Y16" s="17" t="b">
        <f t="shared" ca="1" si="11"/>
        <v>1</v>
      </c>
      <c r="Z16" s="17" t="b">
        <f t="shared" ca="1" si="12"/>
        <v>0</v>
      </c>
      <c r="AA16" s="17" t="b">
        <f t="shared" ca="1" si="13"/>
        <v>0</v>
      </c>
      <c r="AB16" s="20" t="str">
        <f t="shared" ca="1" si="14"/>
        <v>🟠</v>
      </c>
      <c r="AC16" s="15"/>
      <c r="AD16" s="15"/>
      <c r="AE16" s="21"/>
      <c r="AF16" s="22"/>
    </row>
    <row r="17" spans="1:32" ht="26.4" x14ac:dyDescent="0.3">
      <c r="A17" s="15" t="s">
        <v>471</v>
      </c>
      <c r="B17" s="17" t="str">
        <f t="shared" si="0"/>
        <v>Rozensingel Fase 2</v>
      </c>
      <c r="C17" s="38">
        <f t="shared" si="1"/>
        <v>46258</v>
      </c>
      <c r="D17" s="17" t="str">
        <f t="shared" si="2"/>
        <v>Netgedreven</v>
      </c>
      <c r="E17" s="17" t="str">
        <f t="shared" si="3"/>
        <v>NOidK</v>
      </c>
      <c r="F17" s="15" t="s">
        <v>56</v>
      </c>
      <c r="G17" s="15" t="s">
        <v>188</v>
      </c>
      <c r="H17" s="15" t="s">
        <v>193</v>
      </c>
      <c r="I17" s="17" t="str">
        <f t="shared" si="4"/>
        <v>C-PS-NG-N</v>
      </c>
      <c r="J17" s="18">
        <f>IFERROR(IF(I17="","",VLOOKUP(I17,Normtijden_Config!$A$4:$S$55,7,FALSE())),"")</f>
        <v>50</v>
      </c>
      <c r="K17" s="17" t="str">
        <f>IFERROR(IF(I17="","",VLOOKUP(I17,Normtijden_Config!$A$4:$S$55,8,FALSE())),"")</f>
        <v>Proefsleuven_Einde</v>
      </c>
      <c r="L17" s="18">
        <f>IF(I17="","",IFERROR(  IF(VLOOKUP(I17,Normtijden_Config!$A$4:$S$55,9,FALSE())&lt;&gt;"",     VLOOKUP(I17,Normtijden_Config!$A$4:$S$55,9,FALSE()),     IFERROR(-INDEX(tbl_Offsets_Wd,MATCH(K17&amp;"|"&amp;D17&amp;"|"&amp;E17,tbl_Offsets_Key,0)),"")),""))</f>
        <v>100</v>
      </c>
      <c r="M17" s="17" t="b">
        <f>IFERROR(IF(I17="","",VLOOKUP(I17,Normtijden_Config!$A$4:$S$55,10,FALSE())),"")</f>
        <v>1</v>
      </c>
      <c r="N17" s="17" t="b">
        <f>IFERROR(IF(I17="","",VLOOKUP(I17,Normtijden_Config!$A$4:$S$55,11,FALSE())),"")</f>
        <v>0</v>
      </c>
      <c r="O17" s="15" t="s">
        <v>73</v>
      </c>
      <c r="P17" s="15" t="s">
        <v>40</v>
      </c>
      <c r="Q17" s="39"/>
      <c r="R17" s="39"/>
      <c r="S17" s="38">
        <f t="shared" si="5"/>
        <v>46118</v>
      </c>
      <c r="T17" s="38">
        <f t="shared" si="6"/>
        <v>46048</v>
      </c>
      <c r="U17" s="38">
        <f t="shared" ca="1" si="7"/>
        <v>46206</v>
      </c>
      <c r="V17" s="38">
        <f t="shared" ca="1" si="8"/>
        <v>46346</v>
      </c>
      <c r="W17" s="18">
        <f t="shared" ca="1" si="9"/>
        <v>50</v>
      </c>
      <c r="X17" s="17" t="str">
        <f t="shared" ca="1" si="10"/>
        <v>KRAP</v>
      </c>
      <c r="Y17" s="17" t="b">
        <f t="shared" ca="1" si="11"/>
        <v>1</v>
      </c>
      <c r="Z17" s="17" t="b">
        <f t="shared" ca="1" si="12"/>
        <v>0</v>
      </c>
      <c r="AA17" s="17" t="b">
        <f t="shared" ca="1" si="13"/>
        <v>0</v>
      </c>
      <c r="AB17" s="20" t="str">
        <f t="shared" ca="1" si="14"/>
        <v>🟠</v>
      </c>
      <c r="AC17" s="15"/>
      <c r="AD17" s="15"/>
      <c r="AE17" s="21"/>
      <c r="AF17" s="22"/>
    </row>
    <row r="18" spans="1:32" ht="15" customHeight="1" x14ac:dyDescent="0.3">
      <c r="A18" s="15" t="s">
        <v>471</v>
      </c>
      <c r="B18" s="17" t="str">
        <f t="shared" si="0"/>
        <v>Rozensingel Fase 2</v>
      </c>
      <c r="C18" s="38">
        <f t="shared" si="1"/>
        <v>46258</v>
      </c>
      <c r="D18" s="17" t="str">
        <f t="shared" si="2"/>
        <v>Netgedreven</v>
      </c>
      <c r="E18" s="17" t="str">
        <f t="shared" si="3"/>
        <v>NOidK</v>
      </c>
      <c r="F18" s="15" t="s">
        <v>43</v>
      </c>
      <c r="G18" s="15" t="s">
        <v>113</v>
      </c>
      <c r="H18" s="15" t="s">
        <v>114</v>
      </c>
      <c r="I18" s="17" t="str">
        <f t="shared" si="4"/>
        <v>A-QS-GEO</v>
      </c>
      <c r="J18" s="18">
        <f>IFERROR(IF(I18="","",VLOOKUP(I18,Normtijden_Config!$A$4:$S$55,7,FALSE())),"")</f>
        <v>10</v>
      </c>
      <c r="K18" s="17" t="str">
        <f>IFERROR(IF(I18="","",VLOOKUP(I18,Normtijden_Config!$A$4:$S$55,8,FALSE())),"")</f>
        <v>VO_Einde</v>
      </c>
      <c r="L18" s="18">
        <f>IF(I18="","",IFERROR(  IF(VLOOKUP(I18,Normtijden_Config!$A$4:$S$55,9,FALSE())&lt;&gt;"",     VLOOKUP(I18,Normtijden_Config!$A$4:$S$55,9,FALSE()),     IFERROR(-INDEX(tbl_Offsets_Wd,MATCH(K18&amp;"|"&amp;D18&amp;"|"&amp;E18,tbl_Offsets_Key,0)),"")),""))</f>
        <v>100</v>
      </c>
      <c r="M18" s="17" t="b">
        <f>IFERROR(IF(I18="","",VLOOKUP(I18,Normtijden_Config!$A$4:$S$55,10,FALSE())),"")</f>
        <v>0</v>
      </c>
      <c r="N18" s="17" t="b">
        <f>IFERROR(IF(I18="","",VLOOKUP(I18,Normtijden_Config!$A$4:$S$55,11,FALSE())),"")</f>
        <v>0</v>
      </c>
      <c r="O18" s="15" t="s">
        <v>45</v>
      </c>
      <c r="P18" s="15" t="s">
        <v>40</v>
      </c>
      <c r="Q18" s="39"/>
      <c r="R18" s="39"/>
      <c r="S18" s="38">
        <f t="shared" si="5"/>
        <v>46118</v>
      </c>
      <c r="T18" s="38">
        <f t="shared" si="6"/>
        <v>46104</v>
      </c>
      <c r="U18" s="38">
        <f t="shared" ca="1" si="7"/>
        <v>46150</v>
      </c>
      <c r="V18" s="38">
        <f t="shared" ca="1" si="8"/>
        <v>46290</v>
      </c>
      <c r="W18" s="18">
        <f t="shared" ca="1" si="9"/>
        <v>10</v>
      </c>
      <c r="X18" s="17" t="str">
        <f t="shared" ca="1" si="10"/>
        <v>KRAP</v>
      </c>
      <c r="Y18" s="17" t="b">
        <f t="shared" ca="1" si="11"/>
        <v>1</v>
      </c>
      <c r="Z18" s="17" t="b">
        <f t="shared" ca="1" si="12"/>
        <v>0</v>
      </c>
      <c r="AA18" s="17" t="b">
        <f t="shared" ca="1" si="13"/>
        <v>0</v>
      </c>
      <c r="AB18" s="20" t="str">
        <f t="shared" ca="1" si="14"/>
        <v>🟠</v>
      </c>
      <c r="AC18" s="15"/>
      <c r="AD18" s="15"/>
      <c r="AE18" s="21"/>
      <c r="AF18" s="22"/>
    </row>
    <row r="19" spans="1:32" ht="15" customHeight="1" x14ac:dyDescent="0.3">
      <c r="A19" s="15" t="s">
        <v>471</v>
      </c>
      <c r="B19" s="17" t="str">
        <f t="shared" si="0"/>
        <v>Rozensingel Fase 2</v>
      </c>
      <c r="C19" s="38">
        <f t="shared" si="1"/>
        <v>46258</v>
      </c>
      <c r="D19" s="17" t="str">
        <f t="shared" si="2"/>
        <v>Netgedreven</v>
      </c>
      <c r="E19" s="17" t="str">
        <f t="shared" si="3"/>
        <v>NOidK</v>
      </c>
      <c r="F19" s="15" t="s">
        <v>77</v>
      </c>
      <c r="G19" s="15" t="s">
        <v>260</v>
      </c>
      <c r="H19" s="15" t="s">
        <v>261</v>
      </c>
      <c r="I19" s="17" t="str">
        <f t="shared" si="4"/>
        <v>H-G-VO</v>
      </c>
      <c r="J19" s="18">
        <f>IFERROR(IF(I19="","",VLOOKUP(I19,Normtijden_Config!$A$4:$S$55,7,FALSE())),"")</f>
        <v>0</v>
      </c>
      <c r="K19" s="17" t="str">
        <f>IFERROR(IF(I19="","",VLOOKUP(I19,Normtijden_Config!$A$4:$S$55,8,FALSE())),"")</f>
        <v>VO_Einde</v>
      </c>
      <c r="L19" s="18">
        <f>IF(I19="","",IFERROR(  IF(VLOOKUP(I19,Normtijden_Config!$A$4:$S$55,9,FALSE())&lt;&gt;"",     VLOOKUP(I19,Normtijden_Config!$A$4:$S$55,9,FALSE()),     IFERROR(-INDEX(tbl_Offsets_Wd,MATCH(K19&amp;"|"&amp;D19&amp;"|"&amp;E19,tbl_Offsets_Key,0)),"")),""))</f>
        <v>100</v>
      </c>
      <c r="M19" s="17" t="b">
        <f>IFERROR(IF(I19="","",VLOOKUP(I19,Normtijden_Config!$A$4:$S$55,10,FALSE())),"")</f>
        <v>0</v>
      </c>
      <c r="N19" s="17" t="b">
        <f>IFERROR(IF(I19="","",VLOOKUP(I19,Normtijden_Config!$A$4:$S$55,11,FALSE())),"")</f>
        <v>1</v>
      </c>
      <c r="O19" s="15" t="s">
        <v>68</v>
      </c>
      <c r="P19" s="15" t="s">
        <v>40</v>
      </c>
      <c r="Q19" s="39"/>
      <c r="R19" s="39"/>
      <c r="S19" s="38">
        <f t="shared" si="5"/>
        <v>46118</v>
      </c>
      <c r="T19" s="38">
        <f t="shared" si="6"/>
        <v>46118</v>
      </c>
      <c r="U19" s="38">
        <f t="shared" ca="1" si="7"/>
        <v>46136</v>
      </c>
      <c r="V19" s="38">
        <f t="shared" ca="1" si="8"/>
        <v>46276</v>
      </c>
      <c r="W19" s="18">
        <f t="shared" ca="1" si="9"/>
        <v>0</v>
      </c>
      <c r="X19" s="17" t="str">
        <f t="shared" ca="1" si="10"/>
        <v>KRAP</v>
      </c>
      <c r="Y19" s="17" t="b">
        <f t="shared" ca="1" si="11"/>
        <v>1</v>
      </c>
      <c r="Z19" s="17" t="b">
        <f t="shared" ca="1" si="12"/>
        <v>0</v>
      </c>
      <c r="AA19" s="17" t="b">
        <f t="shared" ca="1" si="13"/>
        <v>1</v>
      </c>
      <c r="AB19" s="20" t="str">
        <f t="shared" ca="1" si="14"/>
        <v>🔴</v>
      </c>
      <c r="AC19" s="15"/>
      <c r="AD19" s="15"/>
      <c r="AE19" s="21"/>
      <c r="AF19" s="22"/>
    </row>
    <row r="20" spans="1:32" ht="15" customHeight="1" x14ac:dyDescent="0.3">
      <c r="A20" s="15" t="s">
        <v>471</v>
      </c>
      <c r="B20" s="17" t="str">
        <f t="shared" si="0"/>
        <v>Rozensingel Fase 2</v>
      </c>
      <c r="C20" s="38">
        <f t="shared" si="1"/>
        <v>46258</v>
      </c>
      <c r="D20" s="17" t="str">
        <f t="shared" si="2"/>
        <v>Netgedreven</v>
      </c>
      <c r="E20" s="17" t="str">
        <f t="shared" si="3"/>
        <v>NOidK</v>
      </c>
      <c r="F20" s="15" t="s">
        <v>77</v>
      </c>
      <c r="G20" s="15" t="s">
        <v>266</v>
      </c>
      <c r="H20" s="15" t="s">
        <v>267</v>
      </c>
      <c r="I20" s="17" t="str">
        <f t="shared" si="4"/>
        <v>H-G-DO</v>
      </c>
      <c r="J20" s="18">
        <f>IFERROR(IF(I20="","",VLOOKUP(I20,Normtijden_Config!$A$4:$S$55,7,FALSE())),"")</f>
        <v>0</v>
      </c>
      <c r="K20" s="17" t="str">
        <f>IFERROR(IF(I20="","",VLOOKUP(I20,Normtijden_Config!$A$4:$S$55,8,FALSE())),"")</f>
        <v>DO_Einde</v>
      </c>
      <c r="L20" s="18">
        <f>IF(I20="","",IFERROR(  IF(VLOOKUP(I20,Normtijden_Config!$A$4:$S$55,9,FALSE())&lt;&gt;"",     VLOOKUP(I20,Normtijden_Config!$A$4:$S$55,9,FALSE()),     IFERROR(-INDEX(tbl_Offsets_Wd,MATCH(K20&amp;"|"&amp;D20&amp;"|"&amp;E20,tbl_Offsets_Key,0)),"")),""))</f>
        <v>75</v>
      </c>
      <c r="M20" s="17" t="b">
        <f>IFERROR(IF(I20="","",VLOOKUP(I20,Normtijden_Config!$A$4:$S$55,10,FALSE())),"")</f>
        <v>0</v>
      </c>
      <c r="N20" s="17" t="b">
        <f>IFERROR(IF(I20="","",VLOOKUP(I20,Normtijden_Config!$A$4:$S$55,11,FALSE())),"")</f>
        <v>1</v>
      </c>
      <c r="O20" s="15" t="s">
        <v>68</v>
      </c>
      <c r="P20" s="15" t="s">
        <v>40</v>
      </c>
      <c r="Q20" s="39"/>
      <c r="R20" s="39"/>
      <c r="S20" s="38">
        <f t="shared" si="5"/>
        <v>46153</v>
      </c>
      <c r="T20" s="38">
        <f t="shared" si="6"/>
        <v>46153</v>
      </c>
      <c r="U20" s="38">
        <f t="shared" ca="1" si="7"/>
        <v>46136</v>
      </c>
      <c r="V20" s="38">
        <f t="shared" ca="1" si="8"/>
        <v>46241</v>
      </c>
      <c r="W20" s="18">
        <f t="shared" ca="1" si="9"/>
        <v>0</v>
      </c>
      <c r="X20" s="17" t="str">
        <f t="shared" ca="1" si="10"/>
        <v>JA</v>
      </c>
      <c r="Y20" s="17" t="b">
        <f t="shared" ca="1" si="11"/>
        <v>0</v>
      </c>
      <c r="Z20" s="17" t="b">
        <f t="shared" ca="1" si="12"/>
        <v>0</v>
      </c>
      <c r="AA20" s="17" t="b">
        <f t="shared" ca="1" si="13"/>
        <v>0</v>
      </c>
      <c r="AB20" s="20" t="str">
        <f t="shared" ca="1" si="14"/>
        <v>🟢</v>
      </c>
      <c r="AC20" s="15"/>
      <c r="AD20" s="15"/>
      <c r="AE20" s="21"/>
      <c r="AF20" s="22"/>
    </row>
    <row r="21" spans="1:32" ht="15" customHeight="1" x14ac:dyDescent="0.3">
      <c r="A21" s="15" t="s">
        <v>471</v>
      </c>
      <c r="B21" s="17" t="str">
        <f t="shared" si="0"/>
        <v>Rozensingel Fase 2</v>
      </c>
      <c r="C21" s="38">
        <f t="shared" si="1"/>
        <v>46258</v>
      </c>
      <c r="D21" s="17" t="str">
        <f t="shared" si="2"/>
        <v>Netgedreven</v>
      </c>
      <c r="E21" s="17" t="str">
        <f t="shared" si="3"/>
        <v>NOidK</v>
      </c>
      <c r="F21" s="15" t="s">
        <v>77</v>
      </c>
      <c r="G21" s="15" t="s">
        <v>273</v>
      </c>
      <c r="H21" s="15" t="s">
        <v>279</v>
      </c>
      <c r="I21" s="17" t="str">
        <f t="shared" si="4"/>
        <v>H-G-DOD-NR</v>
      </c>
      <c r="J21" s="18">
        <f>IFERROR(IF(I21="","",VLOOKUP(I21,Normtijden_Config!$A$4:$S$55,7,FALSE())),"")</f>
        <v>15</v>
      </c>
      <c r="K21" s="17" t="str">
        <f>IFERROR(IF(I21="","",VLOOKUP(I21,Normtijden_Config!$A$4:$S$55,8,FALSE())),"")</f>
        <v>DO_Dossier_Einde</v>
      </c>
      <c r="L21" s="18">
        <f>IF(I21="","",IFERROR(  IF(VLOOKUP(I21,Normtijden_Config!$A$4:$S$55,9,FALSE())&lt;&gt;"",     VLOOKUP(I21,Normtijden_Config!$A$4:$S$55,9,FALSE()),     IFERROR(-INDEX(tbl_Offsets_Wd,MATCH(K21&amp;"|"&amp;D21&amp;"|"&amp;E21,tbl_Offsets_Key,0)),"")),""))</f>
        <v>75</v>
      </c>
      <c r="M21" s="17" t="b">
        <f>IFERROR(IF(I21="","",VLOOKUP(I21,Normtijden_Config!$A$4:$S$55,10,FALSE())),"")</f>
        <v>0</v>
      </c>
      <c r="N21" s="17" t="b">
        <f>IFERROR(IF(I21="","",VLOOKUP(I21,Normtijden_Config!$A$4:$S$55,11,FALSE())),"")</f>
        <v>1</v>
      </c>
      <c r="O21" s="15" t="s">
        <v>68</v>
      </c>
      <c r="P21" s="15" t="s">
        <v>40</v>
      </c>
      <c r="Q21" s="39"/>
      <c r="R21" s="39"/>
      <c r="S21" s="38">
        <f t="shared" si="5"/>
        <v>46153</v>
      </c>
      <c r="T21" s="38">
        <f t="shared" si="6"/>
        <v>46132</v>
      </c>
      <c r="U21" s="38">
        <f t="shared" ca="1" si="7"/>
        <v>46157</v>
      </c>
      <c r="V21" s="38">
        <f t="shared" ca="1" si="8"/>
        <v>46262</v>
      </c>
      <c r="W21" s="18">
        <f t="shared" ca="1" si="9"/>
        <v>15</v>
      </c>
      <c r="X21" s="17" t="str">
        <f t="shared" ca="1" si="10"/>
        <v>KRAP</v>
      </c>
      <c r="Y21" s="17" t="b">
        <f t="shared" ca="1" si="11"/>
        <v>1</v>
      </c>
      <c r="Z21" s="17" t="b">
        <f t="shared" ca="1" si="12"/>
        <v>0</v>
      </c>
      <c r="AA21" s="17" t="b">
        <f t="shared" ca="1" si="13"/>
        <v>0</v>
      </c>
      <c r="AB21" s="20" t="str">
        <f t="shared" ca="1" si="14"/>
        <v>🟠</v>
      </c>
      <c r="AC21" s="15"/>
      <c r="AD21" s="15"/>
      <c r="AE21" s="21"/>
      <c r="AF21" s="22"/>
    </row>
    <row r="22" spans="1:32" ht="15" customHeight="1" x14ac:dyDescent="0.3">
      <c r="A22" s="15" t="s">
        <v>471</v>
      </c>
      <c r="B22" s="17" t="str">
        <f t="shared" si="0"/>
        <v>Rozensingel Fase 2</v>
      </c>
      <c r="C22" s="38">
        <f t="shared" si="1"/>
        <v>46258</v>
      </c>
      <c r="D22" s="17" t="str">
        <f t="shared" si="2"/>
        <v>Netgedreven</v>
      </c>
      <c r="E22" s="17" t="str">
        <f t="shared" si="3"/>
        <v>NOidK</v>
      </c>
      <c r="F22" s="15" t="s">
        <v>66</v>
      </c>
      <c r="G22" s="15" t="s">
        <v>158</v>
      </c>
      <c r="H22" s="15" t="s">
        <v>233</v>
      </c>
      <c r="I22" s="17" t="str">
        <f t="shared" si="4"/>
        <v>E-VG-ZRO</v>
      </c>
      <c r="J22" s="18">
        <f>IFERROR(IF(I22="","",VLOOKUP(I22,Normtijden_Config!$A$4:$S$55,7,FALSE())),"")</f>
        <v>40</v>
      </c>
      <c r="K22" s="17" t="str">
        <f>IFERROR(IF(I22="","",VLOOKUP(I22,Normtijden_Config!$A$4:$S$55,8,FALSE())),"")</f>
        <v>Vergunning_Einde</v>
      </c>
      <c r="L22" s="18">
        <f>IF(I22="","",IFERROR(  IF(VLOOKUP(I22,Normtijden_Config!$A$4:$S$55,9,FALSE())&lt;&gt;"",     VLOOKUP(I22,Normtijden_Config!$A$4:$S$55,9,FALSE()),     IFERROR(-INDEX(tbl_Offsets_Wd,MATCH(K22&amp;"|"&amp;D22&amp;"|"&amp;E22,tbl_Offsets_Key,0)),"")),""))</f>
        <v>25</v>
      </c>
      <c r="M22" s="17" t="b">
        <f>IFERROR(IF(I22="","",VLOOKUP(I22,Normtijden_Config!$A$4:$S$55,10,FALSE())),"")</f>
        <v>1</v>
      </c>
      <c r="N22" s="17" t="b">
        <f>IFERROR(IF(I22="","",VLOOKUP(I22,Normtijden_Config!$A$4:$S$55,11,FALSE())),"")</f>
        <v>0</v>
      </c>
      <c r="O22" s="15" t="s">
        <v>79</v>
      </c>
      <c r="P22" s="15" t="s">
        <v>40</v>
      </c>
      <c r="Q22" s="39"/>
      <c r="R22" s="39"/>
      <c r="S22" s="38">
        <f t="shared" si="5"/>
        <v>46223</v>
      </c>
      <c r="T22" s="38">
        <f t="shared" si="6"/>
        <v>46167</v>
      </c>
      <c r="U22" s="38">
        <f t="shared" ca="1" si="7"/>
        <v>46192</v>
      </c>
      <c r="V22" s="38">
        <f t="shared" ca="1" si="8"/>
        <v>46227</v>
      </c>
      <c r="W22" s="18">
        <f t="shared" ca="1" si="9"/>
        <v>40</v>
      </c>
      <c r="X22" s="17" t="str">
        <f t="shared" ca="1" si="10"/>
        <v>JA</v>
      </c>
      <c r="Y22" s="17" t="b">
        <f t="shared" ca="1" si="11"/>
        <v>0</v>
      </c>
      <c r="Z22" s="17" t="b">
        <f t="shared" ca="1" si="12"/>
        <v>0</v>
      </c>
      <c r="AA22" s="17" t="b">
        <f t="shared" ca="1" si="13"/>
        <v>0</v>
      </c>
      <c r="AB22" s="20" t="str">
        <f t="shared" ca="1" si="14"/>
        <v>🟢</v>
      </c>
      <c r="AC22" s="15"/>
      <c r="AD22" s="15"/>
      <c r="AE22" s="21"/>
      <c r="AF22" s="22"/>
    </row>
    <row r="23" spans="1:32" ht="15" customHeight="1" x14ac:dyDescent="0.3">
      <c r="A23" s="15" t="s">
        <v>471</v>
      </c>
      <c r="B23" s="17" t="str">
        <f t="shared" si="0"/>
        <v>Rozensingel Fase 2</v>
      </c>
      <c r="C23" s="38">
        <f t="shared" si="1"/>
        <v>46258</v>
      </c>
      <c r="D23" s="17" t="str">
        <f t="shared" si="2"/>
        <v>Netgedreven</v>
      </c>
      <c r="E23" s="17" t="str">
        <f t="shared" si="3"/>
        <v>NOidK</v>
      </c>
      <c r="F23" s="15" t="s">
        <v>77</v>
      </c>
      <c r="G23" s="15" t="s">
        <v>285</v>
      </c>
      <c r="H23" s="15" t="s">
        <v>286</v>
      </c>
      <c r="I23" s="17" t="str">
        <f t="shared" si="4"/>
        <v>H-G-BEG</v>
      </c>
      <c r="J23" s="18">
        <f>IFERROR(IF(I23="","",VLOOKUP(I23,Normtijden_Config!$A$4:$S$55,7,FALSE())),"")</f>
        <v>5</v>
      </c>
      <c r="K23" s="17" t="str">
        <f>IFERROR(IF(I23="","",VLOOKUP(I23,Normtijden_Config!$A$4:$S$55,8,FALSE())),"")</f>
        <v>Begroting_Einde</v>
      </c>
      <c r="L23" s="18">
        <f>IF(I23="","",IFERROR(  IF(VLOOKUP(I23,Normtijden_Config!$A$4:$S$55,9,FALSE())&lt;&gt;"",     VLOOKUP(I23,Normtijden_Config!$A$4:$S$55,9,FALSE()),     IFERROR(-INDEX(tbl_Offsets_Wd,MATCH(K23&amp;"|"&amp;D23&amp;"|"&amp;E23,tbl_Offsets_Key,0)),"")),""))</f>
        <v>35</v>
      </c>
      <c r="M23" s="17" t="b">
        <f>IFERROR(IF(I23="","",VLOOKUP(I23,Normtijden_Config!$A$4:$S$55,10,FALSE())),"")</f>
        <v>0</v>
      </c>
      <c r="N23" s="17" t="b">
        <f>IFERROR(IF(I23="","",VLOOKUP(I23,Normtijden_Config!$A$4:$S$55,11,FALSE())),"")</f>
        <v>1</v>
      </c>
      <c r="O23" s="15" t="s">
        <v>68</v>
      </c>
      <c r="P23" s="15" t="s">
        <v>40</v>
      </c>
      <c r="Q23" s="39"/>
      <c r="R23" s="39"/>
      <c r="S23" s="38">
        <f t="shared" si="5"/>
        <v>46209</v>
      </c>
      <c r="T23" s="38">
        <f t="shared" si="6"/>
        <v>46202</v>
      </c>
      <c r="U23" s="38">
        <f t="shared" ca="1" si="7"/>
        <v>46143</v>
      </c>
      <c r="V23" s="38">
        <f t="shared" ca="1" si="8"/>
        <v>46192</v>
      </c>
      <c r="W23" s="18">
        <f t="shared" ca="1" si="9"/>
        <v>5</v>
      </c>
      <c r="X23" s="17" t="str">
        <f t="shared" ca="1" si="10"/>
        <v>JA</v>
      </c>
      <c r="Y23" s="17" t="b">
        <f t="shared" ca="1" si="11"/>
        <v>0</v>
      </c>
      <c r="Z23" s="17" t="b">
        <f t="shared" ca="1" si="12"/>
        <v>0</v>
      </c>
      <c r="AA23" s="17" t="b">
        <f t="shared" ca="1" si="13"/>
        <v>0</v>
      </c>
      <c r="AB23" s="20" t="str">
        <f t="shared" ca="1" si="14"/>
        <v>🟢</v>
      </c>
      <c r="AC23" s="15"/>
      <c r="AD23" s="15"/>
      <c r="AE23" s="21"/>
      <c r="AF23" s="22"/>
    </row>
    <row r="24" spans="1:32" ht="15" customHeight="1" x14ac:dyDescent="0.3">
      <c r="A24" s="15" t="s">
        <v>471</v>
      </c>
      <c r="B24" s="17" t="str">
        <f t="shared" si="0"/>
        <v>Rozensingel Fase 2</v>
      </c>
      <c r="C24" s="38">
        <f t="shared" si="1"/>
        <v>46258</v>
      </c>
      <c r="D24" s="17" t="str">
        <f t="shared" si="2"/>
        <v>Netgedreven</v>
      </c>
      <c r="E24" s="17" t="str">
        <f t="shared" si="3"/>
        <v>NOidK</v>
      </c>
      <c r="F24" s="15" t="s">
        <v>77</v>
      </c>
      <c r="G24" s="15" t="s">
        <v>291</v>
      </c>
      <c r="H24" s="15" t="s">
        <v>292</v>
      </c>
      <c r="I24" s="17" t="str">
        <f t="shared" si="4"/>
        <v>H-G-MAT</v>
      </c>
      <c r="J24" s="18">
        <f>IFERROR(IF(I24="","",VLOOKUP(I24,Normtijden_Config!$A$4:$S$55,7,FALSE())),"")</f>
        <v>5</v>
      </c>
      <c r="K24" s="17" t="str">
        <f>IFERROR(IF(I24="","",VLOOKUP(I24,Normtijden_Config!$A$4:$S$55,8,FALSE())),"")</f>
        <v>Materiaal_Einde</v>
      </c>
      <c r="L24" s="18">
        <f>IF(I24="","",IFERROR(  IF(VLOOKUP(I24,Normtijden_Config!$A$4:$S$55,9,FALSE())&lt;&gt;"",     VLOOKUP(I24,Normtijden_Config!$A$4:$S$55,9,FALSE()),     IFERROR(-INDEX(tbl_Offsets_Wd,MATCH(K24&amp;"|"&amp;D24&amp;"|"&amp;E24,tbl_Offsets_Key,0)),"")),""))</f>
        <v>35</v>
      </c>
      <c r="M24" s="17" t="b">
        <f>IFERROR(IF(I24="","",VLOOKUP(I24,Normtijden_Config!$A$4:$S$55,10,FALSE())),"")</f>
        <v>0</v>
      </c>
      <c r="N24" s="17" t="b">
        <f>IFERROR(IF(I24="","",VLOOKUP(I24,Normtijden_Config!$A$4:$S$55,11,FALSE())),"")</f>
        <v>1</v>
      </c>
      <c r="O24" s="15" t="s">
        <v>68</v>
      </c>
      <c r="P24" s="15" t="s">
        <v>40</v>
      </c>
      <c r="Q24" s="39"/>
      <c r="R24" s="39"/>
      <c r="S24" s="38">
        <f t="shared" si="5"/>
        <v>46209</v>
      </c>
      <c r="T24" s="38">
        <f t="shared" si="6"/>
        <v>46202</v>
      </c>
      <c r="U24" s="38">
        <f t="shared" ca="1" si="7"/>
        <v>46143</v>
      </c>
      <c r="V24" s="38">
        <f t="shared" ca="1" si="8"/>
        <v>46192</v>
      </c>
      <c r="W24" s="18">
        <f t="shared" ca="1" si="9"/>
        <v>5</v>
      </c>
      <c r="X24" s="17" t="str">
        <f t="shared" ca="1" si="10"/>
        <v>JA</v>
      </c>
      <c r="Y24" s="17" t="b">
        <f t="shared" ca="1" si="11"/>
        <v>0</v>
      </c>
      <c r="Z24" s="17" t="b">
        <f t="shared" ca="1" si="12"/>
        <v>0</v>
      </c>
      <c r="AA24" s="17" t="b">
        <f t="shared" ca="1" si="13"/>
        <v>0</v>
      </c>
      <c r="AB24" s="20" t="str">
        <f t="shared" ca="1" si="14"/>
        <v>🟢</v>
      </c>
      <c r="AC24" s="15"/>
      <c r="AD24" s="15"/>
      <c r="AE24" s="21"/>
      <c r="AF24" s="22"/>
    </row>
    <row r="25" spans="1:32" ht="15" customHeight="1" x14ac:dyDescent="0.3">
      <c r="A25" s="15" t="s">
        <v>471</v>
      </c>
      <c r="B25" s="17" t="str">
        <f t="shared" si="0"/>
        <v>Rozensingel Fase 2</v>
      </c>
      <c r="C25" s="38">
        <f t="shared" si="1"/>
        <v>46258</v>
      </c>
      <c r="D25" s="17" t="str">
        <f t="shared" si="2"/>
        <v>Netgedreven</v>
      </c>
      <c r="E25" s="17" t="str">
        <f t="shared" si="3"/>
        <v>NOidK</v>
      </c>
      <c r="F25" s="15" t="s">
        <v>77</v>
      </c>
      <c r="G25" s="15" t="s">
        <v>297</v>
      </c>
      <c r="H25" s="15" t="s">
        <v>298</v>
      </c>
      <c r="I25" s="17" t="str">
        <f t="shared" si="4"/>
        <v>H-G-KO</v>
      </c>
      <c r="J25" s="18">
        <f>IFERROR(IF(I25="","",VLOOKUP(I25,Normtijden_Config!$A$4:$S$55,7,FALSE())),"")</f>
        <v>5</v>
      </c>
      <c r="K25" s="17" t="str">
        <f>IFERROR(IF(I25="","",VLOOKUP(I25,Normtijden_Config!$A$4:$S$55,8,FALSE())),"")</f>
        <v>Kickoff_Einde</v>
      </c>
      <c r="L25" s="18">
        <f>IF(I25="","",IFERROR(  IF(VLOOKUP(I25,Normtijden_Config!$A$4:$S$55,9,FALSE())&lt;&gt;"",     VLOOKUP(I25,Normtijden_Config!$A$4:$S$55,9,FALSE()),     IFERROR(-INDEX(tbl_Offsets_Wd,MATCH(K25&amp;"|"&amp;D25&amp;"|"&amp;E25,tbl_Offsets_Key,0)),"")),""))</f>
        <v>25</v>
      </c>
      <c r="M25" s="17" t="b">
        <f>IFERROR(IF(I25="","",VLOOKUP(I25,Normtijden_Config!$A$4:$S$55,10,FALSE())),"")</f>
        <v>0</v>
      </c>
      <c r="N25" s="17" t="b">
        <f>IFERROR(IF(I25="","",VLOOKUP(I25,Normtijden_Config!$A$4:$S$55,11,FALSE())),"")</f>
        <v>1</v>
      </c>
      <c r="O25" s="15" t="s">
        <v>73</v>
      </c>
      <c r="P25" s="15" t="s">
        <v>40</v>
      </c>
      <c r="Q25" s="39"/>
      <c r="R25" s="39"/>
      <c r="S25" s="38">
        <f t="shared" si="5"/>
        <v>46223</v>
      </c>
      <c r="T25" s="38">
        <f t="shared" si="6"/>
        <v>46216</v>
      </c>
      <c r="U25" s="38">
        <f t="shared" ca="1" si="7"/>
        <v>46143</v>
      </c>
      <c r="V25" s="38">
        <f t="shared" ca="1" si="8"/>
        <v>46178</v>
      </c>
      <c r="W25" s="18">
        <f t="shared" ca="1" si="9"/>
        <v>5</v>
      </c>
      <c r="X25" s="17" t="str">
        <f t="shared" ca="1" si="10"/>
        <v>JA</v>
      </c>
      <c r="Y25" s="17" t="b">
        <f t="shared" ca="1" si="11"/>
        <v>0</v>
      </c>
      <c r="Z25" s="17" t="b">
        <f t="shared" ca="1" si="12"/>
        <v>0</v>
      </c>
      <c r="AA25" s="17" t="b">
        <f t="shared" ca="1" si="13"/>
        <v>0</v>
      </c>
      <c r="AB25" s="20" t="str">
        <f t="shared" ca="1" si="14"/>
        <v>🟢</v>
      </c>
      <c r="AC25" s="15"/>
      <c r="AD25" s="15"/>
      <c r="AE25" s="21"/>
      <c r="AF25" s="22"/>
    </row>
    <row r="26" spans="1:32" ht="26.4" x14ac:dyDescent="0.3">
      <c r="A26" s="15" t="s">
        <v>477</v>
      </c>
      <c r="B26" s="17" t="str">
        <f t="shared" si="0"/>
        <v>Honingerdijk</v>
      </c>
      <c r="C26" s="38">
        <f t="shared" si="1"/>
        <v>46265</v>
      </c>
      <c r="D26" s="17" t="str">
        <f t="shared" si="2"/>
        <v>Netgedreven</v>
      </c>
      <c r="E26" s="17" t="str">
        <f t="shared" si="3"/>
        <v>NOidK</v>
      </c>
      <c r="F26" s="15" t="s">
        <v>50</v>
      </c>
      <c r="G26" s="15" t="s">
        <v>158</v>
      </c>
      <c r="H26" s="15" t="s">
        <v>159</v>
      </c>
      <c r="I26" s="17" t="str">
        <f t="shared" si="4"/>
        <v>B-BOD-KG-N</v>
      </c>
      <c r="J26" s="18">
        <f>IFERROR(IF(I26="","",VLOOKUP(I26,Normtijden_Config!$A$4:$S$55,7,FALSE())),"")</f>
        <v>10</v>
      </c>
      <c r="K26" s="17" t="str">
        <f>IFERROR(IF(I26="","",VLOOKUP(I26,Normtijden_Config!$A$4:$S$55,8,FALSE())),"")</f>
        <v>VO_Einde</v>
      </c>
      <c r="L26" s="18">
        <f>IF(I26="","",IFERROR(  IF(VLOOKUP(I26,Normtijden_Config!$A$4:$S$55,9,FALSE())&lt;&gt;"",     VLOOKUP(I26,Normtijden_Config!$A$4:$S$55,9,FALSE()),     IFERROR(-INDEX(tbl_Offsets_Wd,MATCH(K26&amp;"|"&amp;D26&amp;"|"&amp;E26,tbl_Offsets_Key,0)),"")),""))</f>
        <v>100</v>
      </c>
      <c r="M26" s="17" t="b">
        <f>IFERROR(IF(I26="","",VLOOKUP(I26,Normtijden_Config!$A$4:$S$55,10,FALSE())),"")</f>
        <v>1</v>
      </c>
      <c r="N26" s="17" t="b">
        <f>IFERROR(IF(I26="","",VLOOKUP(I26,Normtijden_Config!$A$4:$S$55,11,FALSE())),"")</f>
        <v>0</v>
      </c>
      <c r="O26" s="15" t="s">
        <v>68</v>
      </c>
      <c r="P26" s="15" t="s">
        <v>40</v>
      </c>
      <c r="Q26" s="39"/>
      <c r="R26" s="39"/>
      <c r="S26" s="38">
        <f t="shared" si="5"/>
        <v>46125</v>
      </c>
      <c r="T26" s="38">
        <f t="shared" si="6"/>
        <v>46111</v>
      </c>
      <c r="U26" s="38">
        <f t="shared" ca="1" si="7"/>
        <v>46150</v>
      </c>
      <c r="V26" s="38">
        <f t="shared" ca="1" si="8"/>
        <v>46290</v>
      </c>
      <c r="W26" s="18">
        <f t="shared" ca="1" si="9"/>
        <v>10</v>
      </c>
      <c r="X26" s="17" t="str">
        <f t="shared" ca="1" si="10"/>
        <v>KRAP</v>
      </c>
      <c r="Y26" s="17" t="b">
        <f t="shared" ca="1" si="11"/>
        <v>1</v>
      </c>
      <c r="Z26" s="17" t="b">
        <f t="shared" ca="1" si="12"/>
        <v>0</v>
      </c>
      <c r="AA26" s="17" t="b">
        <f t="shared" ca="1" si="13"/>
        <v>0</v>
      </c>
      <c r="AB26" s="20" t="str">
        <f t="shared" ca="1" si="14"/>
        <v>🟠</v>
      </c>
      <c r="AC26" s="15"/>
      <c r="AD26" s="15"/>
      <c r="AE26" s="21">
        <v>46136.546493055554</v>
      </c>
      <c r="AF26" s="22" t="s">
        <v>508</v>
      </c>
    </row>
    <row r="27" spans="1:32" ht="26.4" x14ac:dyDescent="0.3">
      <c r="A27" s="15" t="s">
        <v>477</v>
      </c>
      <c r="B27" s="17" t="str">
        <f t="shared" si="0"/>
        <v>Honingerdijk</v>
      </c>
      <c r="C27" s="38">
        <f t="shared" si="1"/>
        <v>46265</v>
      </c>
      <c r="D27" s="17" t="str">
        <f t="shared" si="2"/>
        <v>Netgedreven</v>
      </c>
      <c r="E27" s="17" t="str">
        <f t="shared" si="3"/>
        <v>NOidK</v>
      </c>
      <c r="F27" s="15" t="s">
        <v>56</v>
      </c>
      <c r="G27" s="15" t="s">
        <v>188</v>
      </c>
      <c r="H27" s="15" t="s">
        <v>193</v>
      </c>
      <c r="I27" s="17" t="str">
        <f t="shared" si="4"/>
        <v>C-PS-NG-N</v>
      </c>
      <c r="J27" s="18">
        <f>IFERROR(IF(I27="","",VLOOKUP(I27,Normtijden_Config!$A$4:$S$55,7,FALSE())),"")</f>
        <v>50</v>
      </c>
      <c r="K27" s="17" t="str">
        <f>IFERROR(IF(I27="","",VLOOKUP(I27,Normtijden_Config!$A$4:$S$55,8,FALSE())),"")</f>
        <v>Proefsleuven_Einde</v>
      </c>
      <c r="L27" s="18">
        <f>IF(I27="","",IFERROR(  IF(VLOOKUP(I27,Normtijden_Config!$A$4:$S$55,9,FALSE())&lt;&gt;"",     VLOOKUP(I27,Normtijden_Config!$A$4:$S$55,9,FALSE()),     IFERROR(-INDEX(tbl_Offsets_Wd,MATCH(K27&amp;"|"&amp;D27&amp;"|"&amp;E27,tbl_Offsets_Key,0)),"")),""))</f>
        <v>100</v>
      </c>
      <c r="M27" s="17" t="b">
        <f>IFERROR(IF(I27="","",VLOOKUP(I27,Normtijden_Config!$A$4:$S$55,10,FALSE())),"")</f>
        <v>1</v>
      </c>
      <c r="N27" s="17" t="b">
        <f>IFERROR(IF(I27="","",VLOOKUP(I27,Normtijden_Config!$A$4:$S$55,11,FALSE())),"")</f>
        <v>0</v>
      </c>
      <c r="O27" s="15" t="s">
        <v>73</v>
      </c>
      <c r="P27" s="15" t="s">
        <v>40</v>
      </c>
      <c r="Q27" s="39"/>
      <c r="R27" s="39"/>
      <c r="S27" s="38">
        <f t="shared" si="5"/>
        <v>46125</v>
      </c>
      <c r="T27" s="38">
        <f t="shared" si="6"/>
        <v>46055</v>
      </c>
      <c r="U27" s="38">
        <f t="shared" ca="1" si="7"/>
        <v>46206</v>
      </c>
      <c r="V27" s="38">
        <f t="shared" ca="1" si="8"/>
        <v>46346</v>
      </c>
      <c r="W27" s="18">
        <f t="shared" ca="1" si="9"/>
        <v>50</v>
      </c>
      <c r="X27" s="17" t="str">
        <f t="shared" ca="1" si="10"/>
        <v>KRAP</v>
      </c>
      <c r="Y27" s="17" t="b">
        <f t="shared" ca="1" si="11"/>
        <v>1</v>
      </c>
      <c r="Z27" s="17" t="b">
        <f t="shared" ca="1" si="12"/>
        <v>0</v>
      </c>
      <c r="AA27" s="17" t="b">
        <f t="shared" ca="1" si="13"/>
        <v>0</v>
      </c>
      <c r="AB27" s="20" t="str">
        <f t="shared" ca="1" si="14"/>
        <v>🟠</v>
      </c>
      <c r="AC27" s="15"/>
      <c r="AD27" s="15"/>
      <c r="AE27" s="21"/>
      <c r="AF27" s="22"/>
    </row>
    <row r="28" spans="1:32" x14ac:dyDescent="0.3">
      <c r="A28" s="15" t="s">
        <v>477</v>
      </c>
      <c r="B28" s="17" t="str">
        <f t="shared" si="0"/>
        <v>Honingerdijk</v>
      </c>
      <c r="C28" s="38">
        <f t="shared" si="1"/>
        <v>46265</v>
      </c>
      <c r="D28" s="17" t="str">
        <f t="shared" si="2"/>
        <v>Netgedreven</v>
      </c>
      <c r="E28" s="17" t="str">
        <f t="shared" si="3"/>
        <v>NOidK</v>
      </c>
      <c r="F28" s="15" t="s">
        <v>43</v>
      </c>
      <c r="G28" s="15" t="s">
        <v>113</v>
      </c>
      <c r="H28" s="15" t="s">
        <v>114</v>
      </c>
      <c r="I28" s="17" t="str">
        <f t="shared" si="4"/>
        <v>A-QS-GEO</v>
      </c>
      <c r="J28" s="18">
        <f>IFERROR(IF(I28="","",VLOOKUP(I28,Normtijden_Config!$A$4:$S$55,7,FALSE())),"")</f>
        <v>10</v>
      </c>
      <c r="K28" s="17" t="str">
        <f>IFERROR(IF(I28="","",VLOOKUP(I28,Normtijden_Config!$A$4:$S$55,8,FALSE())),"")</f>
        <v>VO_Einde</v>
      </c>
      <c r="L28" s="18">
        <f>IF(I28="","",IFERROR(  IF(VLOOKUP(I28,Normtijden_Config!$A$4:$S$55,9,FALSE())&lt;&gt;"",     VLOOKUP(I28,Normtijden_Config!$A$4:$S$55,9,FALSE()),     IFERROR(-INDEX(tbl_Offsets_Wd,MATCH(K28&amp;"|"&amp;D28&amp;"|"&amp;E28,tbl_Offsets_Key,0)),"")),""))</f>
        <v>100</v>
      </c>
      <c r="M28" s="17" t="b">
        <f>IFERROR(IF(I28="","",VLOOKUP(I28,Normtijden_Config!$A$4:$S$55,10,FALSE())),"")</f>
        <v>0</v>
      </c>
      <c r="N28" s="17" t="b">
        <f>IFERROR(IF(I28="","",VLOOKUP(I28,Normtijden_Config!$A$4:$S$55,11,FALSE())),"")</f>
        <v>0</v>
      </c>
      <c r="O28" s="15" t="s">
        <v>480</v>
      </c>
      <c r="P28" s="15" t="s">
        <v>40</v>
      </c>
      <c r="Q28" s="39"/>
      <c r="R28" s="39"/>
      <c r="S28" s="38">
        <f t="shared" si="5"/>
        <v>46125</v>
      </c>
      <c r="T28" s="38">
        <f t="shared" si="6"/>
        <v>46111</v>
      </c>
      <c r="U28" s="38">
        <f t="shared" ca="1" si="7"/>
        <v>46150</v>
      </c>
      <c r="V28" s="38">
        <f t="shared" ca="1" si="8"/>
        <v>46290</v>
      </c>
      <c r="W28" s="18">
        <f t="shared" ca="1" si="9"/>
        <v>10</v>
      </c>
      <c r="X28" s="17" t="str">
        <f t="shared" ca="1" si="10"/>
        <v>KRAP</v>
      </c>
      <c r="Y28" s="17" t="b">
        <f t="shared" ca="1" si="11"/>
        <v>1</v>
      </c>
      <c r="Z28" s="17" t="b">
        <f t="shared" ca="1" si="12"/>
        <v>0</v>
      </c>
      <c r="AA28" s="17" t="b">
        <f t="shared" ca="1" si="13"/>
        <v>0</v>
      </c>
      <c r="AB28" s="20" t="str">
        <f t="shared" ca="1" si="14"/>
        <v>🟠</v>
      </c>
      <c r="AC28" s="15"/>
      <c r="AD28" s="15"/>
      <c r="AE28" s="21"/>
      <c r="AF28" s="22"/>
    </row>
    <row r="29" spans="1:32" ht="15" customHeight="1" x14ac:dyDescent="0.3">
      <c r="A29" s="15" t="s">
        <v>477</v>
      </c>
      <c r="B29" s="17" t="str">
        <f t="shared" si="0"/>
        <v>Honingerdijk</v>
      </c>
      <c r="C29" s="38">
        <f t="shared" si="1"/>
        <v>46265</v>
      </c>
      <c r="D29" s="17" t="str">
        <f t="shared" si="2"/>
        <v>Netgedreven</v>
      </c>
      <c r="E29" s="17" t="str">
        <f t="shared" si="3"/>
        <v>NOidK</v>
      </c>
      <c r="F29" s="15" t="s">
        <v>77</v>
      </c>
      <c r="G29" s="15" t="s">
        <v>260</v>
      </c>
      <c r="H29" s="15" t="s">
        <v>261</v>
      </c>
      <c r="I29" s="17" t="str">
        <f t="shared" si="4"/>
        <v>H-G-VO</v>
      </c>
      <c r="J29" s="18">
        <f>IFERROR(IF(I29="","",VLOOKUP(I29,Normtijden_Config!$A$4:$S$55,7,FALSE())),"")</f>
        <v>0</v>
      </c>
      <c r="K29" s="17" t="str">
        <f>IFERROR(IF(I29="","",VLOOKUP(I29,Normtijden_Config!$A$4:$S$55,8,FALSE())),"")</f>
        <v>VO_Einde</v>
      </c>
      <c r="L29" s="18">
        <f>IF(I29="","",IFERROR(  IF(VLOOKUP(I29,Normtijden_Config!$A$4:$S$55,9,FALSE())&lt;&gt;"",     VLOOKUP(I29,Normtijden_Config!$A$4:$S$55,9,FALSE()),     IFERROR(-INDEX(tbl_Offsets_Wd,MATCH(K29&amp;"|"&amp;D29&amp;"|"&amp;E29,tbl_Offsets_Key,0)),"")),""))</f>
        <v>100</v>
      </c>
      <c r="M29" s="17" t="b">
        <f>IFERROR(IF(I29="","",VLOOKUP(I29,Normtijden_Config!$A$4:$S$55,10,FALSE())),"")</f>
        <v>0</v>
      </c>
      <c r="N29" s="17" t="b">
        <f>IFERROR(IF(I29="","",VLOOKUP(I29,Normtijden_Config!$A$4:$S$55,11,FALSE())),"")</f>
        <v>1</v>
      </c>
      <c r="O29" s="15" t="s">
        <v>68</v>
      </c>
      <c r="P29" s="15" t="s">
        <v>40</v>
      </c>
      <c r="Q29" s="39"/>
      <c r="R29" s="39"/>
      <c r="S29" s="38">
        <f t="shared" si="5"/>
        <v>46125</v>
      </c>
      <c r="T29" s="38">
        <f t="shared" si="6"/>
        <v>46125</v>
      </c>
      <c r="U29" s="38">
        <f t="shared" ca="1" si="7"/>
        <v>46136</v>
      </c>
      <c r="V29" s="38">
        <f t="shared" ca="1" si="8"/>
        <v>46276</v>
      </c>
      <c r="W29" s="18">
        <f t="shared" ca="1" si="9"/>
        <v>0</v>
      </c>
      <c r="X29" s="17" t="str">
        <f t="shared" ca="1" si="10"/>
        <v>KRAP</v>
      </c>
      <c r="Y29" s="17" t="b">
        <f t="shared" ca="1" si="11"/>
        <v>1</v>
      </c>
      <c r="Z29" s="17" t="b">
        <f t="shared" ca="1" si="12"/>
        <v>0</v>
      </c>
      <c r="AA29" s="17" t="b">
        <f t="shared" ca="1" si="13"/>
        <v>1</v>
      </c>
      <c r="AB29" s="20" t="str">
        <f t="shared" ca="1" si="14"/>
        <v>🔴</v>
      </c>
      <c r="AC29" s="15"/>
      <c r="AD29" s="15"/>
      <c r="AE29" s="21"/>
      <c r="AF29" s="22"/>
    </row>
    <row r="30" spans="1:32" ht="15" customHeight="1" x14ac:dyDescent="0.3">
      <c r="A30" s="15" t="s">
        <v>477</v>
      </c>
      <c r="B30" s="17" t="str">
        <f t="shared" si="0"/>
        <v>Honingerdijk</v>
      </c>
      <c r="C30" s="38" t="s">
        <v>713</v>
      </c>
      <c r="D30" s="17" t="str">
        <f t="shared" si="2"/>
        <v>Netgedreven</v>
      </c>
      <c r="E30" s="17" t="str">
        <f t="shared" si="3"/>
        <v>NOidK</v>
      </c>
      <c r="F30" s="15" t="s">
        <v>714</v>
      </c>
      <c r="G30" s="15" t="s">
        <v>266</v>
      </c>
      <c r="H30" s="15" t="s">
        <v>267</v>
      </c>
      <c r="I30" s="17" t="str">
        <f t="shared" si="4"/>
        <v/>
      </c>
      <c r="J30" s="18" t="str">
        <f>IFERROR(IF(I30="","",VLOOKUP(I30,Normtijden_Config!$A$4:$S$55,7,FALSE())),"")</f>
        <v/>
      </c>
      <c r="K30" s="17" t="str">
        <f>IFERROR(IF(I30="","",VLOOKUP(I30,Normtijden_Config!$A$4:$S$55,8,FALSE())),"")</f>
        <v/>
      </c>
      <c r="L30" s="18" t="str">
        <f>IF(I30="","",IFERROR(  IF(VLOOKUP(I30,Normtijden_Config!$A$4:$S$55,9,FALSE())&lt;&gt;"",     VLOOKUP(I30,Normtijden_Config!$A$4:$S$55,9,FALSE()),     IFERROR(-INDEX(tbl_Offsets_Wd,MATCH(K30&amp;"|"&amp;D30&amp;"|"&amp;E30,tbl_Offsets_Key,0)),"")),""))</f>
        <v/>
      </c>
      <c r="M30" s="17" t="str">
        <f>IFERROR(IF(I30="","",VLOOKUP(I30,Normtijden_Config!$A$4:$S$55,10,FALSE())),"")</f>
        <v/>
      </c>
      <c r="N30" s="17" t="str">
        <f>IFERROR(IF(I30="","",VLOOKUP(I30,Normtijden_Config!$A$4:$S$55,11,FALSE())),"")</f>
        <v/>
      </c>
      <c r="O30" s="15" t="s">
        <v>68</v>
      </c>
      <c r="P30" s="15" t="s">
        <v>40</v>
      </c>
      <c r="Q30" s="39"/>
      <c r="R30" s="39"/>
      <c r="S30" s="38" t="str">
        <f t="shared" si="5"/>
        <v/>
      </c>
      <c r="T30" s="38" t="str">
        <f t="shared" si="6"/>
        <v/>
      </c>
      <c r="U30" s="38" t="str">
        <f t="shared" ca="1" si="7"/>
        <v/>
      </c>
      <c r="V30" s="38">
        <f t="shared" ca="1" si="8"/>
        <v>0</v>
      </c>
      <c r="W30" s="18" t="str">
        <f t="shared" ca="1" si="9"/>
        <v>n.v.t.</v>
      </c>
      <c r="X30" s="17" t="str">
        <f t="shared" ca="1" si="10"/>
        <v>ONBEKEND</v>
      </c>
      <c r="Y30" s="17" t="b">
        <f t="shared" ca="1" si="11"/>
        <v>0</v>
      </c>
      <c r="Z30" s="17" t="b">
        <f t="shared" ca="1" si="12"/>
        <v>0</v>
      </c>
      <c r="AA30" s="17" t="b">
        <f t="shared" ca="1" si="13"/>
        <v>0</v>
      </c>
      <c r="AB30" s="20" t="str">
        <f t="shared" ca="1" si="14"/>
        <v>🟢</v>
      </c>
      <c r="AC30" s="15"/>
      <c r="AD30" s="15"/>
      <c r="AE30" s="21">
        <v>46136.546481481484</v>
      </c>
      <c r="AF30" s="22" t="s">
        <v>508</v>
      </c>
    </row>
    <row r="31" spans="1:32" ht="15" customHeight="1" x14ac:dyDescent="0.3">
      <c r="A31" s="15" t="s">
        <v>477</v>
      </c>
      <c r="B31" s="17" t="str">
        <f t="shared" si="0"/>
        <v>Honingerdijk</v>
      </c>
      <c r="C31" s="38">
        <f t="shared" si="1"/>
        <v>46265</v>
      </c>
      <c r="D31" s="17" t="str">
        <f t="shared" si="2"/>
        <v>Netgedreven</v>
      </c>
      <c r="E31" s="17" t="str">
        <f t="shared" si="3"/>
        <v>NOidK</v>
      </c>
      <c r="F31" s="15" t="s">
        <v>77</v>
      </c>
      <c r="G31" s="15" t="s">
        <v>273</v>
      </c>
      <c r="H31" s="15" t="s">
        <v>279</v>
      </c>
      <c r="I31" s="17" t="str">
        <f t="shared" si="4"/>
        <v>H-G-DOD-NR</v>
      </c>
      <c r="J31" s="18">
        <f>IFERROR(IF(I31="","",VLOOKUP(I31,Normtijden_Config!$A$4:$S$55,7,FALSE())),"")</f>
        <v>15</v>
      </c>
      <c r="K31" s="17" t="str">
        <f>IFERROR(IF(I31="","",VLOOKUP(I31,Normtijden_Config!$A$4:$S$55,8,FALSE())),"")</f>
        <v>DO_Dossier_Einde</v>
      </c>
      <c r="L31" s="18">
        <f>IF(I31="","",IFERROR(  IF(VLOOKUP(I31,Normtijden_Config!$A$4:$S$55,9,FALSE())&lt;&gt;"",     VLOOKUP(I31,Normtijden_Config!$A$4:$S$55,9,FALSE()),     IFERROR(-INDEX(tbl_Offsets_Wd,MATCH(K31&amp;"|"&amp;D31&amp;"|"&amp;E31,tbl_Offsets_Key,0)),"")),""))</f>
        <v>75</v>
      </c>
      <c r="M31" s="17" t="b">
        <f>IFERROR(IF(I31="","",VLOOKUP(I31,Normtijden_Config!$A$4:$S$55,10,FALSE())),"")</f>
        <v>0</v>
      </c>
      <c r="N31" s="17" t="b">
        <f>IFERROR(IF(I31="","",VLOOKUP(I31,Normtijden_Config!$A$4:$S$55,11,FALSE())),"")</f>
        <v>1</v>
      </c>
      <c r="O31" s="15" t="s">
        <v>68</v>
      </c>
      <c r="P31" s="15" t="s">
        <v>40</v>
      </c>
      <c r="Q31" s="39"/>
      <c r="R31" s="39"/>
      <c r="S31" s="38">
        <f t="shared" si="5"/>
        <v>46160</v>
      </c>
      <c r="T31" s="38">
        <f t="shared" si="6"/>
        <v>46139</v>
      </c>
      <c r="U31" s="38">
        <f t="shared" ca="1" si="7"/>
        <v>46157</v>
      </c>
      <c r="V31" s="38">
        <f t="shared" ca="1" si="8"/>
        <v>46262</v>
      </c>
      <c r="W31" s="18">
        <f t="shared" ca="1" si="9"/>
        <v>15</v>
      </c>
      <c r="X31" s="17" t="str">
        <f t="shared" ca="1" si="10"/>
        <v>JA</v>
      </c>
      <c r="Y31" s="17" t="b">
        <f t="shared" ca="1" si="11"/>
        <v>1</v>
      </c>
      <c r="Z31" s="17" t="b">
        <f t="shared" ca="1" si="12"/>
        <v>0</v>
      </c>
      <c r="AA31" s="17" t="b">
        <f t="shared" ca="1" si="13"/>
        <v>0</v>
      </c>
      <c r="AB31" s="20" t="str">
        <f t="shared" ca="1" si="14"/>
        <v>🟠</v>
      </c>
      <c r="AC31" s="15"/>
      <c r="AD31" s="15"/>
      <c r="AE31" s="21"/>
      <c r="AF31" s="22"/>
    </row>
    <row r="32" spans="1:32" ht="26.4" x14ac:dyDescent="0.3">
      <c r="A32" s="15" t="s">
        <v>477</v>
      </c>
      <c r="B32" s="17" t="str">
        <f t="shared" si="0"/>
        <v>Honingerdijk</v>
      </c>
      <c r="C32" s="38">
        <f t="shared" si="1"/>
        <v>46265</v>
      </c>
      <c r="D32" s="17" t="str">
        <f t="shared" si="2"/>
        <v>Netgedreven</v>
      </c>
      <c r="E32" s="17" t="str">
        <f t="shared" si="3"/>
        <v>NOidK</v>
      </c>
      <c r="F32" s="15" t="s">
        <v>66</v>
      </c>
      <c r="G32" s="15" t="s">
        <v>158</v>
      </c>
      <c r="H32" s="15" t="s">
        <v>233</v>
      </c>
      <c r="I32" s="17" t="str">
        <f t="shared" si="4"/>
        <v>E-VG-ZRO</v>
      </c>
      <c r="J32" s="18">
        <f>IFERROR(IF(I32="","",VLOOKUP(I32,Normtijden_Config!$A$4:$S$55,7,FALSE())),"")</f>
        <v>40</v>
      </c>
      <c r="K32" s="17" t="str">
        <f>IFERROR(IF(I32="","",VLOOKUP(I32,Normtijden_Config!$A$4:$S$55,8,FALSE())),"")</f>
        <v>Vergunning_Einde</v>
      </c>
      <c r="L32" s="18">
        <f>IF(I32="","",IFERROR(  IF(VLOOKUP(I32,Normtijden_Config!$A$4:$S$55,9,FALSE())&lt;&gt;"",     VLOOKUP(I32,Normtijden_Config!$A$4:$S$55,9,FALSE()),     IFERROR(-INDEX(tbl_Offsets_Wd,MATCH(K32&amp;"|"&amp;D32&amp;"|"&amp;E32,tbl_Offsets_Key,0)),"")),""))</f>
        <v>25</v>
      </c>
      <c r="M32" s="17" t="b">
        <f>IFERROR(IF(I32="","",VLOOKUP(I32,Normtijden_Config!$A$4:$S$55,10,FALSE())),"")</f>
        <v>1</v>
      </c>
      <c r="N32" s="17" t="b">
        <f>IFERROR(IF(I32="","",VLOOKUP(I32,Normtijden_Config!$A$4:$S$55,11,FALSE())),"")</f>
        <v>0</v>
      </c>
      <c r="O32" s="15" t="s">
        <v>79</v>
      </c>
      <c r="P32" s="15" t="s">
        <v>40</v>
      </c>
      <c r="Q32" s="39"/>
      <c r="R32" s="39"/>
      <c r="S32" s="38">
        <f t="shared" si="5"/>
        <v>46230</v>
      </c>
      <c r="T32" s="38">
        <f t="shared" si="6"/>
        <v>46174</v>
      </c>
      <c r="U32" s="38">
        <f t="shared" ca="1" si="7"/>
        <v>46192</v>
      </c>
      <c r="V32" s="38">
        <f t="shared" ca="1" si="8"/>
        <v>46227</v>
      </c>
      <c r="W32" s="18">
        <f t="shared" ca="1" si="9"/>
        <v>40</v>
      </c>
      <c r="X32" s="17" t="str">
        <f t="shared" ca="1" si="10"/>
        <v>JA</v>
      </c>
      <c r="Y32" s="17" t="b">
        <f t="shared" ca="1" si="11"/>
        <v>0</v>
      </c>
      <c r="Z32" s="17" t="b">
        <f t="shared" ca="1" si="12"/>
        <v>0</v>
      </c>
      <c r="AA32" s="17" t="b">
        <f t="shared" ca="1" si="13"/>
        <v>0</v>
      </c>
      <c r="AB32" s="20" t="str">
        <f t="shared" ca="1" si="14"/>
        <v>🟢</v>
      </c>
      <c r="AC32" s="15"/>
      <c r="AD32" s="15"/>
      <c r="AE32" s="21"/>
      <c r="AF32" s="22"/>
    </row>
    <row r="33" spans="1:32" ht="15" customHeight="1" x14ac:dyDescent="0.3">
      <c r="A33" s="15" t="s">
        <v>477</v>
      </c>
      <c r="B33" s="17" t="str">
        <f t="shared" si="0"/>
        <v>Honingerdijk</v>
      </c>
      <c r="C33" s="38">
        <f t="shared" si="1"/>
        <v>46265</v>
      </c>
      <c r="D33" s="17" t="str">
        <f t="shared" si="2"/>
        <v>Netgedreven</v>
      </c>
      <c r="E33" s="17" t="str">
        <f t="shared" si="3"/>
        <v>NOidK</v>
      </c>
      <c r="F33" s="15" t="s">
        <v>77</v>
      </c>
      <c r="G33" s="15" t="s">
        <v>285</v>
      </c>
      <c r="H33" s="15" t="s">
        <v>286</v>
      </c>
      <c r="I33" s="17" t="str">
        <f t="shared" si="4"/>
        <v>H-G-BEG</v>
      </c>
      <c r="J33" s="18">
        <f>IFERROR(IF(I33="","",VLOOKUP(I33,Normtijden_Config!$A$4:$S$55,7,FALSE())),"")</f>
        <v>5</v>
      </c>
      <c r="K33" s="17" t="str">
        <f>IFERROR(IF(I33="","",VLOOKUP(I33,Normtijden_Config!$A$4:$S$55,8,FALSE())),"")</f>
        <v>Begroting_Einde</v>
      </c>
      <c r="L33" s="18">
        <f>IF(I33="","",IFERROR(  IF(VLOOKUP(I33,Normtijden_Config!$A$4:$S$55,9,FALSE())&lt;&gt;"",     VLOOKUP(I33,Normtijden_Config!$A$4:$S$55,9,FALSE()),     IFERROR(-INDEX(tbl_Offsets_Wd,MATCH(K33&amp;"|"&amp;D33&amp;"|"&amp;E33,tbl_Offsets_Key,0)),"")),""))</f>
        <v>35</v>
      </c>
      <c r="M33" s="17" t="b">
        <f>IFERROR(IF(I33="","",VLOOKUP(I33,Normtijden_Config!$A$4:$S$55,10,FALSE())),"")</f>
        <v>0</v>
      </c>
      <c r="N33" s="17" t="b">
        <f>IFERROR(IF(I33="","",VLOOKUP(I33,Normtijden_Config!$A$4:$S$55,11,FALSE())),"")</f>
        <v>1</v>
      </c>
      <c r="O33" s="15" t="s">
        <v>68</v>
      </c>
      <c r="P33" s="15" t="s">
        <v>40</v>
      </c>
      <c r="Q33" s="39"/>
      <c r="R33" s="39"/>
      <c r="S33" s="38">
        <f t="shared" si="5"/>
        <v>46216</v>
      </c>
      <c r="T33" s="38">
        <f t="shared" si="6"/>
        <v>46209</v>
      </c>
      <c r="U33" s="38">
        <f t="shared" ca="1" si="7"/>
        <v>46143</v>
      </c>
      <c r="V33" s="38">
        <f t="shared" ca="1" si="8"/>
        <v>46192</v>
      </c>
      <c r="W33" s="18">
        <f t="shared" ca="1" si="9"/>
        <v>5</v>
      </c>
      <c r="X33" s="17" t="str">
        <f t="shared" ca="1" si="10"/>
        <v>JA</v>
      </c>
      <c r="Y33" s="17" t="b">
        <f t="shared" ca="1" si="11"/>
        <v>0</v>
      </c>
      <c r="Z33" s="17" t="b">
        <f t="shared" ca="1" si="12"/>
        <v>0</v>
      </c>
      <c r="AA33" s="17" t="b">
        <f t="shared" ca="1" si="13"/>
        <v>0</v>
      </c>
      <c r="AB33" s="20" t="str">
        <f t="shared" ca="1" si="14"/>
        <v>🟢</v>
      </c>
      <c r="AC33" s="15"/>
      <c r="AD33" s="15"/>
      <c r="AE33" s="21"/>
      <c r="AF33" s="22"/>
    </row>
    <row r="34" spans="1:32" ht="15" customHeight="1" x14ac:dyDescent="0.3">
      <c r="A34" s="15" t="s">
        <v>477</v>
      </c>
      <c r="B34" s="17" t="str">
        <f t="shared" si="0"/>
        <v>Honingerdijk</v>
      </c>
      <c r="C34" s="38">
        <f t="shared" si="1"/>
        <v>46265</v>
      </c>
      <c r="D34" s="17" t="str">
        <f t="shared" si="2"/>
        <v>Netgedreven</v>
      </c>
      <c r="E34" s="17" t="str">
        <f t="shared" si="3"/>
        <v>NOidK</v>
      </c>
      <c r="F34" s="15" t="s">
        <v>77</v>
      </c>
      <c r="G34" s="15" t="s">
        <v>291</v>
      </c>
      <c r="H34" s="15" t="s">
        <v>292</v>
      </c>
      <c r="I34" s="17" t="str">
        <f t="shared" si="4"/>
        <v>H-G-MAT</v>
      </c>
      <c r="J34" s="18">
        <f>IFERROR(IF(I34="","",VLOOKUP(I34,Normtijden_Config!$A$4:$S$55,7,FALSE())),"")</f>
        <v>5</v>
      </c>
      <c r="K34" s="17" t="str">
        <f>IFERROR(IF(I34="","",VLOOKUP(I34,Normtijden_Config!$A$4:$S$55,8,FALSE())),"")</f>
        <v>Materiaal_Einde</v>
      </c>
      <c r="L34" s="18">
        <f>IF(I34="","",IFERROR(  IF(VLOOKUP(I34,Normtijden_Config!$A$4:$S$55,9,FALSE())&lt;&gt;"",     VLOOKUP(I34,Normtijden_Config!$A$4:$S$55,9,FALSE()),     IFERROR(-INDEX(tbl_Offsets_Wd,MATCH(K34&amp;"|"&amp;D34&amp;"|"&amp;E34,tbl_Offsets_Key,0)),"")),""))</f>
        <v>35</v>
      </c>
      <c r="M34" s="17" t="b">
        <f>IFERROR(IF(I34="","",VLOOKUP(I34,Normtijden_Config!$A$4:$S$55,10,FALSE())),"")</f>
        <v>0</v>
      </c>
      <c r="N34" s="17" t="b">
        <f>IFERROR(IF(I34="","",VLOOKUP(I34,Normtijden_Config!$A$4:$S$55,11,FALSE())),"")</f>
        <v>1</v>
      </c>
      <c r="O34" s="15" t="s">
        <v>68</v>
      </c>
      <c r="P34" s="15" t="s">
        <v>40</v>
      </c>
      <c r="Q34" s="39"/>
      <c r="R34" s="39"/>
      <c r="S34" s="38">
        <f t="shared" si="5"/>
        <v>46216</v>
      </c>
      <c r="T34" s="38">
        <f t="shared" si="6"/>
        <v>46209</v>
      </c>
      <c r="U34" s="38">
        <f t="shared" ca="1" si="7"/>
        <v>46143</v>
      </c>
      <c r="V34" s="38">
        <f t="shared" ca="1" si="8"/>
        <v>46192</v>
      </c>
      <c r="W34" s="18">
        <f t="shared" ca="1" si="9"/>
        <v>5</v>
      </c>
      <c r="X34" s="17" t="str">
        <f t="shared" ca="1" si="10"/>
        <v>JA</v>
      </c>
      <c r="Y34" s="17" t="b">
        <f t="shared" ca="1" si="11"/>
        <v>0</v>
      </c>
      <c r="Z34" s="17" t="b">
        <f t="shared" ca="1" si="12"/>
        <v>0</v>
      </c>
      <c r="AA34" s="17" t="b">
        <f t="shared" ca="1" si="13"/>
        <v>0</v>
      </c>
      <c r="AB34" s="20" t="str">
        <f t="shared" ca="1" si="14"/>
        <v>🟢</v>
      </c>
      <c r="AC34" s="15"/>
      <c r="AD34" s="15"/>
      <c r="AE34" s="21"/>
      <c r="AF34" s="22"/>
    </row>
    <row r="35" spans="1:32" x14ac:dyDescent="0.3">
      <c r="A35" s="15" t="s">
        <v>477</v>
      </c>
      <c r="B35" s="17" t="str">
        <f t="shared" si="0"/>
        <v>Honingerdijk</v>
      </c>
      <c r="C35" s="38">
        <f t="shared" si="1"/>
        <v>46265</v>
      </c>
      <c r="D35" s="17" t="str">
        <f t="shared" si="2"/>
        <v>Netgedreven</v>
      </c>
      <c r="E35" s="17" t="str">
        <f t="shared" si="3"/>
        <v>NOidK</v>
      </c>
      <c r="F35" s="15" t="s">
        <v>77</v>
      </c>
      <c r="G35" s="15" t="s">
        <v>297</v>
      </c>
      <c r="H35" s="15" t="s">
        <v>298</v>
      </c>
      <c r="I35" s="17" t="str">
        <f t="shared" si="4"/>
        <v>H-G-KO</v>
      </c>
      <c r="J35" s="18">
        <f>IFERROR(IF(I35="","",VLOOKUP(I35,Normtijden_Config!$A$4:$S$55,7,FALSE())),"")</f>
        <v>5</v>
      </c>
      <c r="K35" s="17" t="str">
        <f>IFERROR(IF(I35="","",VLOOKUP(I35,Normtijden_Config!$A$4:$S$55,8,FALSE())),"")</f>
        <v>Kickoff_Einde</v>
      </c>
      <c r="L35" s="18">
        <f>IF(I35="","",IFERROR(  IF(VLOOKUP(I35,Normtijden_Config!$A$4:$S$55,9,FALSE())&lt;&gt;"",     VLOOKUP(I35,Normtijden_Config!$A$4:$S$55,9,FALSE()),     IFERROR(-INDEX(tbl_Offsets_Wd,MATCH(K35&amp;"|"&amp;D35&amp;"|"&amp;E35,tbl_Offsets_Key,0)),"")),""))</f>
        <v>25</v>
      </c>
      <c r="M35" s="17" t="b">
        <f>IFERROR(IF(I35="","",VLOOKUP(I35,Normtijden_Config!$A$4:$S$55,10,FALSE())),"")</f>
        <v>0</v>
      </c>
      <c r="N35" s="17" t="b">
        <f>IFERROR(IF(I35="","",VLOOKUP(I35,Normtijden_Config!$A$4:$S$55,11,FALSE())),"")</f>
        <v>1</v>
      </c>
      <c r="O35" s="15" t="s">
        <v>73</v>
      </c>
      <c r="P35" s="15" t="s">
        <v>40</v>
      </c>
      <c r="Q35" s="39"/>
      <c r="R35" s="39"/>
      <c r="S35" s="38">
        <f t="shared" si="5"/>
        <v>46230</v>
      </c>
      <c r="T35" s="38">
        <f t="shared" si="6"/>
        <v>46223</v>
      </c>
      <c r="U35" s="38">
        <f t="shared" ca="1" si="7"/>
        <v>46143</v>
      </c>
      <c r="V35" s="38">
        <f t="shared" ca="1" si="8"/>
        <v>46178</v>
      </c>
      <c r="W35" s="18">
        <f t="shared" ca="1" si="9"/>
        <v>5</v>
      </c>
      <c r="X35" s="17" t="str">
        <f t="shared" ca="1" si="10"/>
        <v>JA</v>
      </c>
      <c r="Y35" s="17" t="b">
        <f t="shared" ca="1" si="11"/>
        <v>0</v>
      </c>
      <c r="Z35" s="17" t="b">
        <f t="shared" ca="1" si="12"/>
        <v>0</v>
      </c>
      <c r="AA35" s="17" t="b">
        <f t="shared" ca="1" si="13"/>
        <v>0</v>
      </c>
      <c r="AB35" s="20" t="str">
        <f t="shared" ca="1" si="14"/>
        <v>🟢</v>
      </c>
      <c r="AC35" s="15"/>
      <c r="AD35" s="15"/>
      <c r="AE35" s="21"/>
      <c r="AF35" s="22"/>
    </row>
    <row r="36" spans="1:32" ht="26.4" x14ac:dyDescent="0.3">
      <c r="A36" s="15" t="s">
        <v>482</v>
      </c>
      <c r="B36" s="17" t="str">
        <f t="shared" ref="B36:B67" si="15">IF(A36="","",IFERROR(INDEX(tbl_Proj_Naam,MATCH(A36,tbl_Proj_ID,0)),"—"))</f>
        <v>Molenstraat Schenkel</v>
      </c>
      <c r="C36" s="38">
        <f t="shared" ref="C36:C67" si="16">IF(A36="","",IFERROR(INDEX(tbl_Proj_GSU,MATCH(A36,tbl_Proj_ID,0)),""))</f>
        <v>46223</v>
      </c>
      <c r="D36" s="17" t="str">
        <f t="shared" ref="D36:D67" si="17">IF(A36="","",IFERROR(INDEX(tbl_Proj_Rt,MATCH(A36,tbl_Proj_ID,0)),""))</f>
        <v>Netgedreven</v>
      </c>
      <c r="E36" s="17" t="str">
        <f t="shared" ref="E36:E67" si="18">IF(A36="","",IFERROR(INDEX(tbl_Proj_Vt,MATCH(A36,tbl_Proj_ID,0)),""))</f>
        <v>NOidK</v>
      </c>
      <c r="F36" s="15" t="s">
        <v>50</v>
      </c>
      <c r="G36" s="15" t="s">
        <v>158</v>
      </c>
      <c r="H36" s="15" t="s">
        <v>163</v>
      </c>
      <c r="I36" s="17" t="str">
        <f t="shared" ref="I36:I67" si="19">IF(OR(F36="",H36=""),"",IFERROR(INDEX(tbl_Keuzes_ItemID,MATCH(LEFT(F36,1)&amp;"|"&amp;G36&amp;"|"&amp;H36,tbl_Keuzes_Key,0)),""))</f>
        <v>B-BOD-NG-N</v>
      </c>
      <c r="J36" s="18">
        <f>IFERROR(IF(I36="","",VLOOKUP(I36,Normtijden_Config!$A$4:$S$55,7,FALSE())),"")</f>
        <v>20</v>
      </c>
      <c r="K36" s="17" t="str">
        <f>IFERROR(IF(I36="","",VLOOKUP(I36,Normtijden_Config!$A$4:$S$55,8,FALSE())),"")</f>
        <v>VO_Einde</v>
      </c>
      <c r="L36" s="18">
        <f>IF(I36="","",IFERROR(  IF(VLOOKUP(I36,Normtijden_Config!$A$4:$S$55,9,FALSE())&lt;&gt;"",     VLOOKUP(I36,Normtijden_Config!$A$4:$S$55,9,FALSE()),     IFERROR(-INDEX(tbl_Offsets_Wd,MATCH(K36&amp;"|"&amp;D36&amp;"|"&amp;E36,tbl_Offsets_Key,0)),"")),""))</f>
        <v>100</v>
      </c>
      <c r="M36" s="17" t="b">
        <f>IFERROR(IF(I36="","",VLOOKUP(I36,Normtijden_Config!$A$4:$S$55,10,FALSE())),"")</f>
        <v>1</v>
      </c>
      <c r="N36" s="17" t="b">
        <f>IFERROR(IF(I36="","",VLOOKUP(I36,Normtijden_Config!$A$4:$S$55,11,FALSE())),"")</f>
        <v>0</v>
      </c>
      <c r="O36" s="15" t="s">
        <v>68</v>
      </c>
      <c r="P36" s="15" t="s">
        <v>40</v>
      </c>
      <c r="Q36" s="39"/>
      <c r="R36" s="39"/>
      <c r="S36" s="38">
        <f t="shared" ref="S36:S67" si="20">IF(OR(C36="",L36=""),"",WORKDAY(C36,-L36))</f>
        <v>46083</v>
      </c>
      <c r="T36" s="38">
        <f t="shared" ref="T36:T67" si="21">IF(OR(S36="",J36=""),"",WORKDAY(S36,-J36))</f>
        <v>46055</v>
      </c>
      <c r="U36" s="38">
        <f t="shared" ref="U36:U67" ca="1" si="22">IF(R36&lt;&gt;"",R36,IF(AND(Q36&lt;&gt;"",ISNUMBER(J36)),WORKDAY(Q36,J36),IF(AND(P36="Nodig",ISNUMBER(J36)),WORKDAY(TODAY(),J36),"")))</f>
        <v>46164</v>
      </c>
      <c r="V36" s="38">
        <f t="shared" ref="V36:V67" ca="1" si="23">IF(OR(P36="Afgerond",P36="Goedgekeurd",P36="N.v.t"),0,IF(OR(U36="",L36=""),0,WORKDAY(U36,L36)))</f>
        <v>46304</v>
      </c>
      <c r="W36" s="18">
        <f t="shared" ref="W36:W67" ca="1" si="24">IF(P36="N.v.t","",IF(OR(P36="Afgerond",P36="Goedgekeurd"),"✓",IF(J36="","n.v.t.",IF(Q36="",J36,J36-NETWORKDAYS(Q36,TODAY())+1))))</f>
        <v>20</v>
      </c>
      <c r="X36" s="17" t="str">
        <f t="shared" ref="X36:X67" ca="1" si="25">IF(OR(U36="",S36=""),"ONBEKEND",IF(U36&lt;=S36,"JA",IF(U36&lt;=C36,"KRAP","NEE")))</f>
        <v>KRAP</v>
      </c>
      <c r="Y36" s="17" t="b">
        <f t="shared" ref="Y36:Y67" ca="1" si="26">IF(A36="",FALSE(),OR(X36="KRAP",AND(P36="Nodig",IFERROR(TODAY()&gt;=T36-10,FALSE())),AND(P36="Ingediend",ISNUMBER(W36),W36&lt;=5,W36&gt;0),P36="Afgewezen"))</f>
        <v>1</v>
      </c>
      <c r="Z36" s="17" t="b">
        <f t="shared" ref="Z36:Z67" ca="1" si="27">IF(A36="",FALSE(),AND(M36=TRUE(),OR(X36="NEE",AND(ISNUMBER(W36),W36&lt;0))))</f>
        <v>0</v>
      </c>
      <c r="AA36" s="17" t="b">
        <f t="shared" ref="AA36:AA67" ca="1" si="28">IF(A36="",FALSE(),AND(N36=TRUE(),OR(P36="Nodig",P36="Ingediend",P36="Afgewezen"),IFERROR(TODAY()&gt;S36,FALSE())))</f>
        <v>0</v>
      </c>
      <c r="AB36" s="20" t="str">
        <f t="shared" ref="AB36:AB67" ca="1" si="29">IF(A36="","",IF(P36="N.v.t","⚪",IF(OR(P36="Afgerond",P36="Goedgekeurd"),"🟢",IF(Z36=TRUE(),"🔴",IF(AA36=TRUE(),"🔴",IF(Y36=TRUE(),"🟠",IF(AND(F36="G-Schouw",J36=""),IF(P36="Ingediend","🟠",IF(AND(C36&lt;&gt;"",TODAY()&gt;C36-28),"🔴","🟠")),"🟢")))))))</f>
        <v>🟠</v>
      </c>
      <c r="AC36" s="15"/>
      <c r="AD36" s="15"/>
      <c r="AE36" s="21"/>
      <c r="AF36" s="22"/>
    </row>
    <row r="37" spans="1:32" ht="15" customHeight="1" x14ac:dyDescent="0.3">
      <c r="A37" s="15" t="s">
        <v>482</v>
      </c>
      <c r="B37" s="17" t="str">
        <f t="shared" si="15"/>
        <v>Molenstraat Schenkel</v>
      </c>
      <c r="C37" s="38">
        <f t="shared" si="16"/>
        <v>46223</v>
      </c>
      <c r="D37" s="17" t="str">
        <f t="shared" si="17"/>
        <v>Netgedreven</v>
      </c>
      <c r="E37" s="17" t="str">
        <f t="shared" si="18"/>
        <v>NOidK</v>
      </c>
      <c r="F37" s="15" t="s">
        <v>56</v>
      </c>
      <c r="G37" s="15" t="s">
        <v>188</v>
      </c>
      <c r="H37" s="15" t="s">
        <v>193</v>
      </c>
      <c r="I37" s="17" t="str">
        <f t="shared" si="19"/>
        <v>C-PS-NG-N</v>
      </c>
      <c r="J37" s="18">
        <f>IFERROR(IF(I37="","",VLOOKUP(I37,Normtijden_Config!$A$4:$S$55,7,FALSE())),"")</f>
        <v>50</v>
      </c>
      <c r="K37" s="17" t="str">
        <f>IFERROR(IF(I37="","",VLOOKUP(I37,Normtijden_Config!$A$4:$S$55,8,FALSE())),"")</f>
        <v>Proefsleuven_Einde</v>
      </c>
      <c r="L37" s="18">
        <f>IF(I37="","",IFERROR(  IF(VLOOKUP(I37,Normtijden_Config!$A$4:$S$55,9,FALSE())&lt;&gt;"",     VLOOKUP(I37,Normtijden_Config!$A$4:$S$55,9,FALSE()),     IFERROR(-INDEX(tbl_Offsets_Wd,MATCH(K37&amp;"|"&amp;D37&amp;"|"&amp;E37,tbl_Offsets_Key,0)),"")),""))</f>
        <v>100</v>
      </c>
      <c r="M37" s="17" t="b">
        <f>IFERROR(IF(I37="","",VLOOKUP(I37,Normtijden_Config!$A$4:$S$55,10,FALSE())),"")</f>
        <v>1</v>
      </c>
      <c r="N37" s="17" t="b">
        <f>IFERROR(IF(I37="","",VLOOKUP(I37,Normtijden_Config!$A$4:$S$55,11,FALSE())),"")</f>
        <v>0</v>
      </c>
      <c r="O37" s="15" t="s">
        <v>73</v>
      </c>
      <c r="P37" s="15" t="s">
        <v>40</v>
      </c>
      <c r="Q37" s="39"/>
      <c r="R37" s="39"/>
      <c r="S37" s="38">
        <f t="shared" si="20"/>
        <v>46083</v>
      </c>
      <c r="T37" s="38">
        <f t="shared" si="21"/>
        <v>46013</v>
      </c>
      <c r="U37" s="38">
        <f t="shared" ca="1" si="22"/>
        <v>46206</v>
      </c>
      <c r="V37" s="38">
        <f t="shared" ca="1" si="23"/>
        <v>46346</v>
      </c>
      <c r="W37" s="18">
        <f t="shared" ca="1" si="24"/>
        <v>50</v>
      </c>
      <c r="X37" s="17" t="str">
        <f t="shared" ca="1" si="25"/>
        <v>KRAP</v>
      </c>
      <c r="Y37" s="17" t="b">
        <f t="shared" ca="1" si="26"/>
        <v>1</v>
      </c>
      <c r="Z37" s="17" t="b">
        <f t="shared" ca="1" si="27"/>
        <v>0</v>
      </c>
      <c r="AA37" s="17" t="b">
        <f t="shared" ca="1" si="28"/>
        <v>0</v>
      </c>
      <c r="AB37" s="20" t="str">
        <f t="shared" ca="1" si="29"/>
        <v>🟠</v>
      </c>
      <c r="AC37" s="15"/>
      <c r="AD37" s="15"/>
      <c r="AE37" s="21"/>
      <c r="AF37" s="22"/>
    </row>
    <row r="38" spans="1:32" ht="15" customHeight="1" x14ac:dyDescent="0.3">
      <c r="A38" s="15" t="s">
        <v>482</v>
      </c>
      <c r="B38" s="17" t="str">
        <f t="shared" si="15"/>
        <v>Molenstraat Schenkel</v>
      </c>
      <c r="C38" s="38">
        <f t="shared" si="16"/>
        <v>46223</v>
      </c>
      <c r="D38" s="17" t="str">
        <f t="shared" si="17"/>
        <v>Netgedreven</v>
      </c>
      <c r="E38" s="17" t="str">
        <f t="shared" si="18"/>
        <v>NOidK</v>
      </c>
      <c r="F38" s="15" t="s">
        <v>43</v>
      </c>
      <c r="G38" s="15" t="s">
        <v>113</v>
      </c>
      <c r="H38" s="15" t="s">
        <v>114</v>
      </c>
      <c r="I38" s="17" t="str">
        <f t="shared" si="19"/>
        <v>A-QS-GEO</v>
      </c>
      <c r="J38" s="18">
        <f>IFERROR(IF(I38="","",VLOOKUP(I38,Normtijden_Config!$A$4:$S$55,7,FALSE())),"")</f>
        <v>10</v>
      </c>
      <c r="K38" s="17" t="str">
        <f>IFERROR(IF(I38="","",VLOOKUP(I38,Normtijden_Config!$A$4:$S$55,8,FALSE())),"")</f>
        <v>VO_Einde</v>
      </c>
      <c r="L38" s="18">
        <f>IF(I38="","",IFERROR(  IF(VLOOKUP(I38,Normtijden_Config!$A$4:$S$55,9,FALSE())&lt;&gt;"",     VLOOKUP(I38,Normtijden_Config!$A$4:$S$55,9,FALSE()),     IFERROR(-INDEX(tbl_Offsets_Wd,MATCH(K38&amp;"|"&amp;D38&amp;"|"&amp;E38,tbl_Offsets_Key,0)),"")),""))</f>
        <v>100</v>
      </c>
      <c r="M38" s="17" t="b">
        <f>IFERROR(IF(I38="","",VLOOKUP(I38,Normtijden_Config!$A$4:$S$55,10,FALSE())),"")</f>
        <v>0</v>
      </c>
      <c r="N38" s="17" t="b">
        <f>IFERROR(IF(I38="","",VLOOKUP(I38,Normtijden_Config!$A$4:$S$55,11,FALSE())),"")</f>
        <v>0</v>
      </c>
      <c r="O38" s="15" t="s">
        <v>45</v>
      </c>
      <c r="P38" s="15" t="s">
        <v>40</v>
      </c>
      <c r="Q38" s="39"/>
      <c r="R38" s="39"/>
      <c r="S38" s="38">
        <f t="shared" si="20"/>
        <v>46083</v>
      </c>
      <c r="T38" s="38">
        <f t="shared" si="21"/>
        <v>46069</v>
      </c>
      <c r="U38" s="38">
        <f t="shared" ca="1" si="22"/>
        <v>46150</v>
      </c>
      <c r="V38" s="38">
        <f t="shared" ca="1" si="23"/>
        <v>46290</v>
      </c>
      <c r="W38" s="18">
        <f t="shared" ca="1" si="24"/>
        <v>10</v>
      </c>
      <c r="X38" s="17" t="str">
        <f t="shared" ca="1" si="25"/>
        <v>KRAP</v>
      </c>
      <c r="Y38" s="17" t="b">
        <f t="shared" ca="1" si="26"/>
        <v>1</v>
      </c>
      <c r="Z38" s="17" t="b">
        <f t="shared" ca="1" si="27"/>
        <v>0</v>
      </c>
      <c r="AA38" s="17" t="b">
        <f t="shared" ca="1" si="28"/>
        <v>0</v>
      </c>
      <c r="AB38" s="20" t="str">
        <f t="shared" ca="1" si="29"/>
        <v>🟠</v>
      </c>
      <c r="AC38" s="15"/>
      <c r="AD38" s="15"/>
      <c r="AE38" s="21"/>
      <c r="AF38" s="22"/>
    </row>
    <row r="39" spans="1:32" ht="15" customHeight="1" x14ac:dyDescent="0.3">
      <c r="A39" s="15" t="s">
        <v>482</v>
      </c>
      <c r="B39" s="17" t="str">
        <f t="shared" si="15"/>
        <v>Molenstraat Schenkel</v>
      </c>
      <c r="C39" s="38">
        <f t="shared" si="16"/>
        <v>46223</v>
      </c>
      <c r="D39" s="17" t="str">
        <f t="shared" si="17"/>
        <v>Netgedreven</v>
      </c>
      <c r="E39" s="17" t="str">
        <f t="shared" si="18"/>
        <v>NOidK</v>
      </c>
      <c r="F39" s="15" t="s">
        <v>77</v>
      </c>
      <c r="G39" s="15" t="s">
        <v>260</v>
      </c>
      <c r="H39" s="15" t="s">
        <v>261</v>
      </c>
      <c r="I39" s="17" t="str">
        <f t="shared" si="19"/>
        <v>H-G-VO</v>
      </c>
      <c r="J39" s="18">
        <f>IFERROR(IF(I39="","",VLOOKUP(I39,Normtijden_Config!$A$4:$S$55,7,FALSE())),"")</f>
        <v>0</v>
      </c>
      <c r="K39" s="17" t="str">
        <f>IFERROR(IF(I39="","",VLOOKUP(I39,Normtijden_Config!$A$4:$S$55,8,FALSE())),"")</f>
        <v>VO_Einde</v>
      </c>
      <c r="L39" s="18">
        <f>IF(I39="","",IFERROR(  IF(VLOOKUP(I39,Normtijden_Config!$A$4:$S$55,9,FALSE())&lt;&gt;"",     VLOOKUP(I39,Normtijden_Config!$A$4:$S$55,9,FALSE()),     IFERROR(-INDEX(tbl_Offsets_Wd,MATCH(K39&amp;"|"&amp;D39&amp;"|"&amp;E39,tbl_Offsets_Key,0)),"")),""))</f>
        <v>100</v>
      </c>
      <c r="M39" s="17" t="b">
        <f>IFERROR(IF(I39="","",VLOOKUP(I39,Normtijden_Config!$A$4:$S$55,10,FALSE())),"")</f>
        <v>0</v>
      </c>
      <c r="N39" s="17" t="b">
        <f>IFERROR(IF(I39="","",VLOOKUP(I39,Normtijden_Config!$A$4:$S$55,11,FALSE())),"")</f>
        <v>1</v>
      </c>
      <c r="O39" s="15" t="s">
        <v>68</v>
      </c>
      <c r="P39" s="15" t="s">
        <v>40</v>
      </c>
      <c r="Q39" s="39"/>
      <c r="R39" s="39"/>
      <c r="S39" s="38">
        <f t="shared" si="20"/>
        <v>46083</v>
      </c>
      <c r="T39" s="38">
        <f t="shared" si="21"/>
        <v>46083</v>
      </c>
      <c r="U39" s="38">
        <f t="shared" ca="1" si="22"/>
        <v>46136</v>
      </c>
      <c r="V39" s="38">
        <f t="shared" ca="1" si="23"/>
        <v>46276</v>
      </c>
      <c r="W39" s="18">
        <f t="shared" ca="1" si="24"/>
        <v>0</v>
      </c>
      <c r="X39" s="17" t="str">
        <f t="shared" ca="1" si="25"/>
        <v>KRAP</v>
      </c>
      <c r="Y39" s="17" t="b">
        <f t="shared" ca="1" si="26"/>
        <v>1</v>
      </c>
      <c r="Z39" s="17" t="b">
        <f t="shared" ca="1" si="27"/>
        <v>0</v>
      </c>
      <c r="AA39" s="17" t="b">
        <f t="shared" ca="1" si="28"/>
        <v>1</v>
      </c>
      <c r="AB39" s="20" t="str">
        <f t="shared" ca="1" si="29"/>
        <v>🔴</v>
      </c>
      <c r="AC39" s="15"/>
      <c r="AD39" s="15"/>
      <c r="AE39" s="21"/>
      <c r="AF39" s="22"/>
    </row>
    <row r="40" spans="1:32" ht="15" customHeight="1" x14ac:dyDescent="0.3">
      <c r="A40" s="15" t="s">
        <v>482</v>
      </c>
      <c r="B40" s="17" t="str">
        <f t="shared" si="15"/>
        <v>Molenstraat Schenkel</v>
      </c>
      <c r="C40" s="38">
        <f t="shared" si="16"/>
        <v>46223</v>
      </c>
      <c r="D40" s="17" t="str">
        <f t="shared" si="17"/>
        <v>Netgedreven</v>
      </c>
      <c r="E40" s="17" t="str">
        <f t="shared" si="18"/>
        <v>NOidK</v>
      </c>
      <c r="F40" s="15" t="s">
        <v>77</v>
      </c>
      <c r="G40" s="15" t="s">
        <v>266</v>
      </c>
      <c r="H40" s="15" t="s">
        <v>267</v>
      </c>
      <c r="I40" s="17" t="str">
        <f t="shared" si="19"/>
        <v>H-G-DO</v>
      </c>
      <c r="J40" s="18">
        <f>IFERROR(IF(I40="","",VLOOKUP(I40,Normtijden_Config!$A$4:$S$55,7,FALSE())),"")</f>
        <v>0</v>
      </c>
      <c r="K40" s="17" t="str">
        <f>IFERROR(IF(I40="","",VLOOKUP(I40,Normtijden_Config!$A$4:$S$55,8,FALSE())),"")</f>
        <v>DO_Einde</v>
      </c>
      <c r="L40" s="18">
        <f>IF(I40="","",IFERROR(  IF(VLOOKUP(I40,Normtijden_Config!$A$4:$S$55,9,FALSE())&lt;&gt;"",     VLOOKUP(I40,Normtijden_Config!$A$4:$S$55,9,FALSE()),     IFERROR(-INDEX(tbl_Offsets_Wd,MATCH(K40&amp;"|"&amp;D40&amp;"|"&amp;E40,tbl_Offsets_Key,0)),"")),""))</f>
        <v>75</v>
      </c>
      <c r="M40" s="17" t="b">
        <f>IFERROR(IF(I40="","",VLOOKUP(I40,Normtijden_Config!$A$4:$S$55,10,FALSE())),"")</f>
        <v>0</v>
      </c>
      <c r="N40" s="17" t="b">
        <f>IFERROR(IF(I40="","",VLOOKUP(I40,Normtijden_Config!$A$4:$S$55,11,FALSE())),"")</f>
        <v>1</v>
      </c>
      <c r="O40" s="15" t="s">
        <v>68</v>
      </c>
      <c r="P40" s="15" t="s">
        <v>40</v>
      </c>
      <c r="Q40" s="39"/>
      <c r="R40" s="39"/>
      <c r="S40" s="38">
        <f t="shared" si="20"/>
        <v>46118</v>
      </c>
      <c r="T40" s="38">
        <f t="shared" si="21"/>
        <v>46118</v>
      </c>
      <c r="U40" s="38">
        <f t="shared" ca="1" si="22"/>
        <v>46136</v>
      </c>
      <c r="V40" s="38">
        <f t="shared" ca="1" si="23"/>
        <v>46241</v>
      </c>
      <c r="W40" s="18">
        <f t="shared" ca="1" si="24"/>
        <v>0</v>
      </c>
      <c r="X40" s="17" t="str">
        <f t="shared" ca="1" si="25"/>
        <v>KRAP</v>
      </c>
      <c r="Y40" s="17" t="b">
        <f t="shared" ca="1" si="26"/>
        <v>1</v>
      </c>
      <c r="Z40" s="17" t="b">
        <f t="shared" ca="1" si="27"/>
        <v>0</v>
      </c>
      <c r="AA40" s="17" t="b">
        <f t="shared" ca="1" si="28"/>
        <v>1</v>
      </c>
      <c r="AB40" s="20" t="str">
        <f t="shared" ca="1" si="29"/>
        <v>🔴</v>
      </c>
      <c r="AC40" s="15"/>
      <c r="AD40" s="15"/>
      <c r="AE40" s="21"/>
      <c r="AF40" s="22"/>
    </row>
    <row r="41" spans="1:32" ht="15" customHeight="1" x14ac:dyDescent="0.3">
      <c r="A41" s="15" t="s">
        <v>482</v>
      </c>
      <c r="B41" s="17" t="str">
        <f t="shared" si="15"/>
        <v>Molenstraat Schenkel</v>
      </c>
      <c r="C41" s="38">
        <f t="shared" si="16"/>
        <v>46223</v>
      </c>
      <c r="D41" s="17" t="str">
        <f t="shared" si="17"/>
        <v>Netgedreven</v>
      </c>
      <c r="E41" s="17" t="str">
        <f t="shared" si="18"/>
        <v>NOidK</v>
      </c>
      <c r="F41" s="15" t="s">
        <v>77</v>
      </c>
      <c r="G41" s="15" t="s">
        <v>273</v>
      </c>
      <c r="H41" s="15" t="s">
        <v>279</v>
      </c>
      <c r="I41" s="17" t="str">
        <f t="shared" si="19"/>
        <v>H-G-DOD-NR</v>
      </c>
      <c r="J41" s="18">
        <f>IFERROR(IF(I41="","",VLOOKUP(I41,Normtijden_Config!$A$4:$S$55,7,FALSE())),"")</f>
        <v>15</v>
      </c>
      <c r="K41" s="17" t="str">
        <f>IFERROR(IF(I41="","",VLOOKUP(I41,Normtijden_Config!$A$4:$S$55,8,FALSE())),"")</f>
        <v>DO_Dossier_Einde</v>
      </c>
      <c r="L41" s="18">
        <f>IF(I41="","",IFERROR(  IF(VLOOKUP(I41,Normtijden_Config!$A$4:$S$55,9,FALSE())&lt;&gt;"",     VLOOKUP(I41,Normtijden_Config!$A$4:$S$55,9,FALSE()),     IFERROR(-INDEX(tbl_Offsets_Wd,MATCH(K41&amp;"|"&amp;D41&amp;"|"&amp;E41,tbl_Offsets_Key,0)),"")),""))</f>
        <v>75</v>
      </c>
      <c r="M41" s="17" t="b">
        <f>IFERROR(IF(I41="","",VLOOKUP(I41,Normtijden_Config!$A$4:$S$55,10,FALSE())),"")</f>
        <v>0</v>
      </c>
      <c r="N41" s="17" t="b">
        <f>IFERROR(IF(I41="","",VLOOKUP(I41,Normtijden_Config!$A$4:$S$55,11,FALSE())),"")</f>
        <v>1</v>
      </c>
      <c r="O41" s="15" t="s">
        <v>68</v>
      </c>
      <c r="P41" s="15" t="s">
        <v>40</v>
      </c>
      <c r="Q41" s="39"/>
      <c r="R41" s="39"/>
      <c r="S41" s="38">
        <f t="shared" si="20"/>
        <v>46118</v>
      </c>
      <c r="T41" s="38">
        <f t="shared" si="21"/>
        <v>46097</v>
      </c>
      <c r="U41" s="38">
        <f t="shared" ca="1" si="22"/>
        <v>46157</v>
      </c>
      <c r="V41" s="38">
        <f t="shared" ca="1" si="23"/>
        <v>46262</v>
      </c>
      <c r="W41" s="18">
        <f t="shared" ca="1" si="24"/>
        <v>15</v>
      </c>
      <c r="X41" s="17" t="str">
        <f t="shared" ca="1" si="25"/>
        <v>KRAP</v>
      </c>
      <c r="Y41" s="17" t="b">
        <f t="shared" ca="1" si="26"/>
        <v>1</v>
      </c>
      <c r="Z41" s="17" t="b">
        <f t="shared" ca="1" si="27"/>
        <v>0</v>
      </c>
      <c r="AA41" s="17" t="b">
        <f t="shared" ca="1" si="28"/>
        <v>1</v>
      </c>
      <c r="AB41" s="20" t="str">
        <f t="shared" ca="1" si="29"/>
        <v>🔴</v>
      </c>
      <c r="AC41" s="15"/>
      <c r="AD41" s="15"/>
      <c r="AE41" s="21"/>
      <c r="AF41" s="22"/>
    </row>
    <row r="42" spans="1:32" ht="15" customHeight="1" x14ac:dyDescent="0.3">
      <c r="A42" s="15" t="s">
        <v>482</v>
      </c>
      <c r="B42" s="17" t="str">
        <f t="shared" si="15"/>
        <v>Molenstraat Schenkel</v>
      </c>
      <c r="C42" s="38">
        <f t="shared" si="16"/>
        <v>46223</v>
      </c>
      <c r="D42" s="17" t="str">
        <f t="shared" si="17"/>
        <v>Netgedreven</v>
      </c>
      <c r="E42" s="17" t="str">
        <f t="shared" si="18"/>
        <v>NOidK</v>
      </c>
      <c r="F42" s="15" t="s">
        <v>66</v>
      </c>
      <c r="G42" s="15" t="s">
        <v>158</v>
      </c>
      <c r="H42" s="15" t="s">
        <v>233</v>
      </c>
      <c r="I42" s="17" t="str">
        <f t="shared" si="19"/>
        <v>E-VG-ZRO</v>
      </c>
      <c r="J42" s="18">
        <f>IFERROR(IF(I42="","",VLOOKUP(I42,Normtijden_Config!$A$4:$S$55,7,FALSE())),"")</f>
        <v>40</v>
      </c>
      <c r="K42" s="17" t="str">
        <f>IFERROR(IF(I42="","",VLOOKUP(I42,Normtijden_Config!$A$4:$S$55,8,FALSE())),"")</f>
        <v>Vergunning_Einde</v>
      </c>
      <c r="L42" s="18">
        <f>IF(I42="","",IFERROR(  IF(VLOOKUP(I42,Normtijden_Config!$A$4:$S$55,9,FALSE())&lt;&gt;"",     VLOOKUP(I42,Normtijden_Config!$A$4:$S$55,9,FALSE()),     IFERROR(-INDEX(tbl_Offsets_Wd,MATCH(K42&amp;"|"&amp;D42&amp;"|"&amp;E42,tbl_Offsets_Key,0)),"")),""))</f>
        <v>25</v>
      </c>
      <c r="M42" s="17" t="b">
        <f>IFERROR(IF(I42="","",VLOOKUP(I42,Normtijden_Config!$A$4:$S$55,10,FALSE())),"")</f>
        <v>1</v>
      </c>
      <c r="N42" s="17" t="b">
        <f>IFERROR(IF(I42="","",VLOOKUP(I42,Normtijden_Config!$A$4:$S$55,11,FALSE())),"")</f>
        <v>0</v>
      </c>
      <c r="O42" s="15" t="s">
        <v>79</v>
      </c>
      <c r="P42" s="15" t="s">
        <v>40</v>
      </c>
      <c r="Q42" s="39"/>
      <c r="R42" s="39"/>
      <c r="S42" s="38">
        <f t="shared" si="20"/>
        <v>46188</v>
      </c>
      <c r="T42" s="38">
        <f t="shared" si="21"/>
        <v>46132</v>
      </c>
      <c r="U42" s="38">
        <f t="shared" ca="1" si="22"/>
        <v>46192</v>
      </c>
      <c r="V42" s="38">
        <f t="shared" ca="1" si="23"/>
        <v>46227</v>
      </c>
      <c r="W42" s="18">
        <f t="shared" ca="1" si="24"/>
        <v>40</v>
      </c>
      <c r="X42" s="17" t="str">
        <f t="shared" ca="1" si="25"/>
        <v>KRAP</v>
      </c>
      <c r="Y42" s="17" t="b">
        <f t="shared" ca="1" si="26"/>
        <v>1</v>
      </c>
      <c r="Z42" s="17" t="b">
        <f t="shared" ca="1" si="27"/>
        <v>0</v>
      </c>
      <c r="AA42" s="17" t="b">
        <f t="shared" ca="1" si="28"/>
        <v>0</v>
      </c>
      <c r="AB42" s="20" t="str">
        <f t="shared" ca="1" si="29"/>
        <v>🟠</v>
      </c>
      <c r="AC42" s="15"/>
      <c r="AD42" s="15"/>
      <c r="AE42" s="21"/>
      <c r="AF42" s="22"/>
    </row>
    <row r="43" spans="1:32" ht="15" customHeight="1" x14ac:dyDescent="0.3">
      <c r="A43" s="15" t="s">
        <v>482</v>
      </c>
      <c r="B43" s="17" t="str">
        <f t="shared" si="15"/>
        <v>Molenstraat Schenkel</v>
      </c>
      <c r="C43" s="38">
        <f t="shared" si="16"/>
        <v>46223</v>
      </c>
      <c r="D43" s="17" t="str">
        <f t="shared" si="17"/>
        <v>Netgedreven</v>
      </c>
      <c r="E43" s="17" t="str">
        <f t="shared" si="18"/>
        <v>NOidK</v>
      </c>
      <c r="F43" s="15" t="s">
        <v>77</v>
      </c>
      <c r="G43" s="15" t="s">
        <v>285</v>
      </c>
      <c r="H43" s="15" t="s">
        <v>286</v>
      </c>
      <c r="I43" s="17" t="str">
        <f t="shared" si="19"/>
        <v>H-G-BEG</v>
      </c>
      <c r="J43" s="18">
        <f>IFERROR(IF(I43="","",VLOOKUP(I43,Normtijden_Config!$A$4:$S$55,7,FALSE())),"")</f>
        <v>5</v>
      </c>
      <c r="K43" s="17" t="str">
        <f>IFERROR(IF(I43="","",VLOOKUP(I43,Normtijden_Config!$A$4:$S$55,8,FALSE())),"")</f>
        <v>Begroting_Einde</v>
      </c>
      <c r="L43" s="18">
        <f>IF(I43="","",IFERROR(  IF(VLOOKUP(I43,Normtijden_Config!$A$4:$S$55,9,FALSE())&lt;&gt;"",     VLOOKUP(I43,Normtijden_Config!$A$4:$S$55,9,FALSE()),     IFERROR(-INDEX(tbl_Offsets_Wd,MATCH(K43&amp;"|"&amp;D43&amp;"|"&amp;E43,tbl_Offsets_Key,0)),"")),""))</f>
        <v>35</v>
      </c>
      <c r="M43" s="17" t="b">
        <f>IFERROR(IF(I43="","",VLOOKUP(I43,Normtijden_Config!$A$4:$S$55,10,FALSE())),"")</f>
        <v>0</v>
      </c>
      <c r="N43" s="17" t="b">
        <f>IFERROR(IF(I43="","",VLOOKUP(I43,Normtijden_Config!$A$4:$S$55,11,FALSE())),"")</f>
        <v>1</v>
      </c>
      <c r="O43" s="15" t="s">
        <v>68</v>
      </c>
      <c r="P43" s="15" t="s">
        <v>40</v>
      </c>
      <c r="Q43" s="39"/>
      <c r="R43" s="39"/>
      <c r="S43" s="38">
        <f t="shared" si="20"/>
        <v>46174</v>
      </c>
      <c r="T43" s="38">
        <f t="shared" si="21"/>
        <v>46167</v>
      </c>
      <c r="U43" s="38">
        <f t="shared" ca="1" si="22"/>
        <v>46143</v>
      </c>
      <c r="V43" s="38">
        <f t="shared" ca="1" si="23"/>
        <v>46192</v>
      </c>
      <c r="W43" s="18">
        <f t="shared" ca="1" si="24"/>
        <v>5</v>
      </c>
      <c r="X43" s="17" t="str">
        <f t="shared" ca="1" si="25"/>
        <v>JA</v>
      </c>
      <c r="Y43" s="17" t="b">
        <f t="shared" ca="1" si="26"/>
        <v>0</v>
      </c>
      <c r="Z43" s="17" t="b">
        <f t="shared" ca="1" si="27"/>
        <v>0</v>
      </c>
      <c r="AA43" s="17" t="b">
        <f t="shared" ca="1" si="28"/>
        <v>0</v>
      </c>
      <c r="AB43" s="20" t="str">
        <f t="shared" ca="1" si="29"/>
        <v>🟢</v>
      </c>
      <c r="AC43" s="15"/>
      <c r="AD43" s="15"/>
      <c r="AE43" s="21"/>
      <c r="AF43" s="22"/>
    </row>
    <row r="44" spans="1:32" ht="15" customHeight="1" x14ac:dyDescent="0.3">
      <c r="A44" s="15" t="s">
        <v>482</v>
      </c>
      <c r="B44" s="17" t="str">
        <f t="shared" si="15"/>
        <v>Molenstraat Schenkel</v>
      </c>
      <c r="C44" s="38">
        <f t="shared" si="16"/>
        <v>46223</v>
      </c>
      <c r="D44" s="17" t="str">
        <f t="shared" si="17"/>
        <v>Netgedreven</v>
      </c>
      <c r="E44" s="17" t="str">
        <f t="shared" si="18"/>
        <v>NOidK</v>
      </c>
      <c r="F44" s="15" t="s">
        <v>77</v>
      </c>
      <c r="G44" s="15" t="s">
        <v>291</v>
      </c>
      <c r="H44" s="15" t="s">
        <v>292</v>
      </c>
      <c r="I44" s="17" t="str">
        <f t="shared" si="19"/>
        <v>H-G-MAT</v>
      </c>
      <c r="J44" s="18">
        <f>IFERROR(IF(I44="","",VLOOKUP(I44,Normtijden_Config!$A$4:$S$55,7,FALSE())),"")</f>
        <v>5</v>
      </c>
      <c r="K44" s="17" t="str">
        <f>IFERROR(IF(I44="","",VLOOKUP(I44,Normtijden_Config!$A$4:$S$55,8,FALSE())),"")</f>
        <v>Materiaal_Einde</v>
      </c>
      <c r="L44" s="18">
        <f>IF(I44="","",IFERROR(  IF(VLOOKUP(I44,Normtijden_Config!$A$4:$S$55,9,FALSE())&lt;&gt;"",     VLOOKUP(I44,Normtijden_Config!$A$4:$S$55,9,FALSE()),     IFERROR(-INDEX(tbl_Offsets_Wd,MATCH(K44&amp;"|"&amp;D44&amp;"|"&amp;E44,tbl_Offsets_Key,0)),"")),""))</f>
        <v>35</v>
      </c>
      <c r="M44" s="17" t="b">
        <f>IFERROR(IF(I44="","",VLOOKUP(I44,Normtijden_Config!$A$4:$S$55,10,FALSE())),"")</f>
        <v>0</v>
      </c>
      <c r="N44" s="17" t="b">
        <f>IFERROR(IF(I44="","",VLOOKUP(I44,Normtijden_Config!$A$4:$S$55,11,FALSE())),"")</f>
        <v>1</v>
      </c>
      <c r="O44" s="15" t="s">
        <v>68</v>
      </c>
      <c r="P44" s="15" t="s">
        <v>40</v>
      </c>
      <c r="Q44" s="39"/>
      <c r="R44" s="39"/>
      <c r="S44" s="38">
        <f t="shared" si="20"/>
        <v>46174</v>
      </c>
      <c r="T44" s="38">
        <f t="shared" si="21"/>
        <v>46167</v>
      </c>
      <c r="U44" s="38">
        <f t="shared" ca="1" si="22"/>
        <v>46143</v>
      </c>
      <c r="V44" s="38">
        <f t="shared" ca="1" si="23"/>
        <v>46192</v>
      </c>
      <c r="W44" s="18">
        <f t="shared" ca="1" si="24"/>
        <v>5</v>
      </c>
      <c r="X44" s="17" t="str">
        <f t="shared" ca="1" si="25"/>
        <v>JA</v>
      </c>
      <c r="Y44" s="17" t="b">
        <f t="shared" ca="1" si="26"/>
        <v>0</v>
      </c>
      <c r="Z44" s="17" t="b">
        <f t="shared" ca="1" si="27"/>
        <v>0</v>
      </c>
      <c r="AA44" s="17" t="b">
        <f t="shared" ca="1" si="28"/>
        <v>0</v>
      </c>
      <c r="AB44" s="20" t="str">
        <f t="shared" ca="1" si="29"/>
        <v>🟢</v>
      </c>
      <c r="AC44" s="15"/>
      <c r="AD44" s="15"/>
      <c r="AE44" s="21"/>
      <c r="AF44" s="22"/>
    </row>
    <row r="45" spans="1:32" ht="15" customHeight="1" x14ac:dyDescent="0.3">
      <c r="A45" s="15" t="s">
        <v>482</v>
      </c>
      <c r="B45" s="17" t="str">
        <f t="shared" si="15"/>
        <v>Molenstraat Schenkel</v>
      </c>
      <c r="C45" s="38">
        <f t="shared" si="16"/>
        <v>46223</v>
      </c>
      <c r="D45" s="17" t="str">
        <f t="shared" si="17"/>
        <v>Netgedreven</v>
      </c>
      <c r="E45" s="17" t="str">
        <f t="shared" si="18"/>
        <v>NOidK</v>
      </c>
      <c r="F45" s="15" t="s">
        <v>77</v>
      </c>
      <c r="G45" s="15" t="s">
        <v>297</v>
      </c>
      <c r="H45" s="15" t="s">
        <v>298</v>
      </c>
      <c r="I45" s="17" t="str">
        <f t="shared" si="19"/>
        <v>H-G-KO</v>
      </c>
      <c r="J45" s="18">
        <f>IFERROR(IF(I45="","",VLOOKUP(I45,Normtijden_Config!$A$4:$S$55,7,FALSE())),"")</f>
        <v>5</v>
      </c>
      <c r="K45" s="17" t="str">
        <f>IFERROR(IF(I45="","",VLOOKUP(I45,Normtijden_Config!$A$4:$S$55,8,FALSE())),"")</f>
        <v>Kickoff_Einde</v>
      </c>
      <c r="L45" s="18">
        <f>IF(I45="","",IFERROR(  IF(VLOOKUP(I45,Normtijden_Config!$A$4:$S$55,9,FALSE())&lt;&gt;"",     VLOOKUP(I45,Normtijden_Config!$A$4:$S$55,9,FALSE()),     IFERROR(-INDEX(tbl_Offsets_Wd,MATCH(K45&amp;"|"&amp;D45&amp;"|"&amp;E45,tbl_Offsets_Key,0)),"")),""))</f>
        <v>25</v>
      </c>
      <c r="M45" s="17" t="b">
        <f>IFERROR(IF(I45="","",VLOOKUP(I45,Normtijden_Config!$A$4:$S$55,10,FALSE())),"")</f>
        <v>0</v>
      </c>
      <c r="N45" s="17" t="b">
        <f>IFERROR(IF(I45="","",VLOOKUP(I45,Normtijden_Config!$A$4:$S$55,11,FALSE())),"")</f>
        <v>1</v>
      </c>
      <c r="O45" s="15" t="s">
        <v>73</v>
      </c>
      <c r="P45" s="15" t="s">
        <v>40</v>
      </c>
      <c r="Q45" s="39"/>
      <c r="R45" s="39"/>
      <c r="S45" s="38">
        <f t="shared" si="20"/>
        <v>46188</v>
      </c>
      <c r="T45" s="38">
        <f t="shared" si="21"/>
        <v>46181</v>
      </c>
      <c r="U45" s="38">
        <f t="shared" ca="1" si="22"/>
        <v>46143</v>
      </c>
      <c r="V45" s="38">
        <f t="shared" ca="1" si="23"/>
        <v>46178</v>
      </c>
      <c r="W45" s="18">
        <f t="shared" ca="1" si="24"/>
        <v>5</v>
      </c>
      <c r="X45" s="17" t="str">
        <f t="shared" ca="1" si="25"/>
        <v>JA</v>
      </c>
      <c r="Y45" s="17" t="b">
        <f t="shared" ca="1" si="26"/>
        <v>0</v>
      </c>
      <c r="Z45" s="17" t="b">
        <f t="shared" ca="1" si="27"/>
        <v>0</v>
      </c>
      <c r="AA45" s="17" t="b">
        <f t="shared" ca="1" si="28"/>
        <v>0</v>
      </c>
      <c r="AB45" s="20" t="str">
        <f t="shared" ca="1" si="29"/>
        <v>🟢</v>
      </c>
      <c r="AC45" s="15"/>
      <c r="AD45" s="15"/>
      <c r="AE45" s="21"/>
      <c r="AF45" s="22"/>
    </row>
    <row r="46" spans="1:32" ht="15" customHeight="1" x14ac:dyDescent="0.3">
      <c r="A46" s="15"/>
      <c r="B46" s="17" t="str">
        <f t="shared" si="15"/>
        <v/>
      </c>
      <c r="C46" s="38" t="str">
        <f t="shared" si="16"/>
        <v/>
      </c>
      <c r="D46" s="17" t="str">
        <f t="shared" si="17"/>
        <v/>
      </c>
      <c r="E46" s="17" t="str">
        <f t="shared" si="18"/>
        <v/>
      </c>
      <c r="F46" s="15"/>
      <c r="G46" s="15"/>
      <c r="H46" s="15"/>
      <c r="I46" s="17" t="str">
        <f t="shared" si="19"/>
        <v/>
      </c>
      <c r="J46" s="18" t="str">
        <f>IFERROR(IF(I46="","",VLOOKUP(I46,Normtijden_Config!$A$4:$S$55,7,FALSE())),"")</f>
        <v/>
      </c>
      <c r="K46" s="17" t="str">
        <f>IFERROR(IF(I46="","",VLOOKUP(I46,Normtijden_Config!$A$4:$S$55,8,FALSE())),"")</f>
        <v/>
      </c>
      <c r="L46" s="18" t="str">
        <f>IF(I46="","",IFERROR(  IF(VLOOKUP(I46,Normtijden_Config!$A$4:$S$55,9,FALSE())&lt;&gt;"",     VLOOKUP(I46,Normtijden_Config!$A$4:$S$55,9,FALSE()),     IFERROR(-INDEX(tbl_Offsets_Wd,MATCH(K46&amp;"|"&amp;D46&amp;"|"&amp;E46,tbl_Offsets_Key,0)),"")),""))</f>
        <v/>
      </c>
      <c r="M46" s="17" t="str">
        <f>IFERROR(IF(I46="","",VLOOKUP(I46,Normtijden_Config!$A$4:$S$55,10,FALSE())),"")</f>
        <v/>
      </c>
      <c r="N46" s="17" t="str">
        <f>IFERROR(IF(I46="","",VLOOKUP(I46,Normtijden_Config!$A$4:$S$55,11,FALSE())),"")</f>
        <v/>
      </c>
      <c r="O46" s="15"/>
      <c r="P46" s="15"/>
      <c r="Q46" s="39"/>
      <c r="R46" s="39"/>
      <c r="S46" s="38" t="str">
        <f t="shared" si="20"/>
        <v/>
      </c>
      <c r="T46" s="38" t="str">
        <f t="shared" si="21"/>
        <v/>
      </c>
      <c r="U46" s="38" t="str">
        <f t="shared" ca="1" si="22"/>
        <v/>
      </c>
      <c r="V46" s="38">
        <f t="shared" ca="1" si="23"/>
        <v>0</v>
      </c>
      <c r="W46" s="18" t="str">
        <f t="shared" ca="1" si="24"/>
        <v>n.v.t.</v>
      </c>
      <c r="X46" s="17" t="str">
        <f t="shared" ca="1" si="25"/>
        <v>ONBEKEND</v>
      </c>
      <c r="Y46" s="17" t="b">
        <f t="shared" ca="1" si="26"/>
        <v>0</v>
      </c>
      <c r="Z46" s="17" t="b">
        <f t="shared" si="27"/>
        <v>0</v>
      </c>
      <c r="AA46" s="17" t="b">
        <f t="shared" ca="1" si="28"/>
        <v>0</v>
      </c>
      <c r="AB46" s="20" t="str">
        <f t="shared" ca="1" si="29"/>
        <v/>
      </c>
      <c r="AC46" s="15"/>
      <c r="AD46" s="15"/>
      <c r="AE46" s="21"/>
      <c r="AF46" s="22"/>
    </row>
    <row r="47" spans="1:32" ht="15" customHeight="1" x14ac:dyDescent="0.3">
      <c r="A47" s="15"/>
      <c r="B47" s="17" t="str">
        <f t="shared" si="15"/>
        <v/>
      </c>
      <c r="C47" s="38" t="str">
        <f t="shared" si="16"/>
        <v/>
      </c>
      <c r="D47" s="17" t="str">
        <f t="shared" si="17"/>
        <v/>
      </c>
      <c r="E47" s="17" t="str">
        <f t="shared" si="18"/>
        <v/>
      </c>
      <c r="F47" s="15"/>
      <c r="G47" s="15"/>
      <c r="H47" s="15"/>
      <c r="I47" s="17" t="str">
        <f t="shared" si="19"/>
        <v/>
      </c>
      <c r="J47" s="18" t="str">
        <f>IFERROR(IF(I47="","",VLOOKUP(I47,Normtijden_Config!$A$4:$S$55,7,FALSE())),"")</f>
        <v/>
      </c>
      <c r="K47" s="17" t="str">
        <f>IFERROR(IF(I47="","",VLOOKUP(I47,Normtijden_Config!$A$4:$S$55,8,FALSE())),"")</f>
        <v/>
      </c>
      <c r="L47" s="18" t="str">
        <f>IF(I47="","",IFERROR(  IF(VLOOKUP(I47,Normtijden_Config!$A$4:$S$55,9,FALSE())&lt;&gt;"",     VLOOKUP(I47,Normtijden_Config!$A$4:$S$55,9,FALSE()),     IFERROR(-INDEX(tbl_Offsets_Wd,MATCH(K47&amp;"|"&amp;D47&amp;"|"&amp;E47,tbl_Offsets_Key,0)),"")),""))</f>
        <v/>
      </c>
      <c r="M47" s="17" t="str">
        <f>IFERROR(IF(I47="","",VLOOKUP(I47,Normtijden_Config!$A$4:$S$55,10,FALSE())),"")</f>
        <v/>
      </c>
      <c r="N47" s="17" t="str">
        <f>IFERROR(IF(I47="","",VLOOKUP(I47,Normtijden_Config!$A$4:$S$55,11,FALSE())),"")</f>
        <v/>
      </c>
      <c r="O47" s="15"/>
      <c r="P47" s="15"/>
      <c r="Q47" s="39"/>
      <c r="R47" s="39"/>
      <c r="S47" s="38" t="str">
        <f t="shared" si="20"/>
        <v/>
      </c>
      <c r="T47" s="38" t="str">
        <f t="shared" si="21"/>
        <v/>
      </c>
      <c r="U47" s="38" t="str">
        <f t="shared" ca="1" si="22"/>
        <v/>
      </c>
      <c r="V47" s="38">
        <f t="shared" ca="1" si="23"/>
        <v>0</v>
      </c>
      <c r="W47" s="18" t="str">
        <f t="shared" ca="1" si="24"/>
        <v>n.v.t.</v>
      </c>
      <c r="X47" s="17" t="str">
        <f t="shared" ca="1" si="25"/>
        <v>ONBEKEND</v>
      </c>
      <c r="Y47" s="17" t="b">
        <f t="shared" ca="1" si="26"/>
        <v>0</v>
      </c>
      <c r="Z47" s="17" t="b">
        <f t="shared" si="27"/>
        <v>0</v>
      </c>
      <c r="AA47" s="17" t="b">
        <f t="shared" ca="1" si="28"/>
        <v>0</v>
      </c>
      <c r="AB47" s="20" t="str">
        <f t="shared" ca="1" si="29"/>
        <v/>
      </c>
      <c r="AC47" s="15"/>
      <c r="AD47" s="15"/>
      <c r="AE47" s="21"/>
      <c r="AF47" s="22"/>
    </row>
    <row r="48" spans="1:32" ht="15" customHeight="1" x14ac:dyDescent="0.3">
      <c r="A48" s="15"/>
      <c r="B48" s="17" t="str">
        <f t="shared" si="15"/>
        <v/>
      </c>
      <c r="C48" s="38" t="str">
        <f t="shared" si="16"/>
        <v/>
      </c>
      <c r="D48" s="17" t="str">
        <f t="shared" si="17"/>
        <v/>
      </c>
      <c r="E48" s="17" t="str">
        <f t="shared" si="18"/>
        <v/>
      </c>
      <c r="F48" s="15"/>
      <c r="G48" s="15"/>
      <c r="H48" s="15"/>
      <c r="I48" s="17" t="str">
        <f t="shared" si="19"/>
        <v/>
      </c>
      <c r="J48" s="18" t="str">
        <f>IFERROR(IF(I48="","",VLOOKUP(I48,Normtijden_Config!$A$4:$S$55,7,FALSE())),"")</f>
        <v/>
      </c>
      <c r="K48" s="17" t="str">
        <f>IFERROR(IF(I48="","",VLOOKUP(I48,Normtijden_Config!$A$4:$S$55,8,FALSE())),"")</f>
        <v/>
      </c>
      <c r="L48" s="18" t="str">
        <f>IF(I48="","",IFERROR(  IF(VLOOKUP(I48,Normtijden_Config!$A$4:$S$55,9,FALSE())&lt;&gt;"",     VLOOKUP(I48,Normtijden_Config!$A$4:$S$55,9,FALSE()),     IFERROR(-INDEX(tbl_Offsets_Wd,MATCH(K48&amp;"|"&amp;D48&amp;"|"&amp;E48,tbl_Offsets_Key,0)),"")),""))</f>
        <v/>
      </c>
      <c r="M48" s="17" t="str">
        <f>IFERROR(IF(I48="","",VLOOKUP(I48,Normtijden_Config!$A$4:$S$55,10,FALSE())),"")</f>
        <v/>
      </c>
      <c r="N48" s="17" t="str">
        <f>IFERROR(IF(I48="","",VLOOKUP(I48,Normtijden_Config!$A$4:$S$55,11,FALSE())),"")</f>
        <v/>
      </c>
      <c r="O48" s="15"/>
      <c r="P48" s="15"/>
      <c r="Q48" s="39"/>
      <c r="R48" s="39"/>
      <c r="S48" s="38" t="str">
        <f t="shared" si="20"/>
        <v/>
      </c>
      <c r="T48" s="38" t="str">
        <f t="shared" si="21"/>
        <v/>
      </c>
      <c r="U48" s="38" t="str">
        <f t="shared" ca="1" si="22"/>
        <v/>
      </c>
      <c r="V48" s="38">
        <f t="shared" ca="1" si="23"/>
        <v>0</v>
      </c>
      <c r="W48" s="18" t="str">
        <f t="shared" ca="1" si="24"/>
        <v>n.v.t.</v>
      </c>
      <c r="X48" s="17" t="str">
        <f t="shared" ca="1" si="25"/>
        <v>ONBEKEND</v>
      </c>
      <c r="Y48" s="17" t="b">
        <f t="shared" ca="1" si="26"/>
        <v>0</v>
      </c>
      <c r="Z48" s="17" t="b">
        <f t="shared" si="27"/>
        <v>0</v>
      </c>
      <c r="AA48" s="17" t="b">
        <f t="shared" ca="1" si="28"/>
        <v>0</v>
      </c>
      <c r="AB48" s="20" t="str">
        <f t="shared" ca="1" si="29"/>
        <v/>
      </c>
      <c r="AC48" s="15"/>
      <c r="AD48" s="15"/>
      <c r="AE48" s="21"/>
      <c r="AF48" s="22"/>
    </row>
    <row r="49" spans="1:32" ht="15" customHeight="1" x14ac:dyDescent="0.3">
      <c r="A49" s="15"/>
      <c r="B49" s="17" t="str">
        <f t="shared" si="15"/>
        <v/>
      </c>
      <c r="C49" s="38" t="str">
        <f t="shared" si="16"/>
        <v/>
      </c>
      <c r="D49" s="17" t="str">
        <f t="shared" si="17"/>
        <v/>
      </c>
      <c r="E49" s="17" t="str">
        <f t="shared" si="18"/>
        <v/>
      </c>
      <c r="F49" s="15"/>
      <c r="G49" s="15"/>
      <c r="H49" s="15"/>
      <c r="I49" s="17" t="str">
        <f t="shared" si="19"/>
        <v/>
      </c>
      <c r="J49" s="18" t="str">
        <f>IFERROR(IF(I49="","",VLOOKUP(I49,Normtijden_Config!$A$4:$S$55,7,FALSE())),"")</f>
        <v/>
      </c>
      <c r="K49" s="17" t="str">
        <f>IFERROR(IF(I49="","",VLOOKUP(I49,Normtijden_Config!$A$4:$S$55,8,FALSE())),"")</f>
        <v/>
      </c>
      <c r="L49" s="18" t="str">
        <f>IF(I49="","",IFERROR(  IF(VLOOKUP(I49,Normtijden_Config!$A$4:$S$55,9,FALSE())&lt;&gt;"",     VLOOKUP(I49,Normtijden_Config!$A$4:$S$55,9,FALSE()),     IFERROR(-INDEX(tbl_Offsets_Wd,MATCH(K49&amp;"|"&amp;D49&amp;"|"&amp;E49,tbl_Offsets_Key,0)),"")),""))</f>
        <v/>
      </c>
      <c r="M49" s="17" t="str">
        <f>IFERROR(IF(I49="","",VLOOKUP(I49,Normtijden_Config!$A$4:$S$55,10,FALSE())),"")</f>
        <v/>
      </c>
      <c r="N49" s="17" t="str">
        <f>IFERROR(IF(I49="","",VLOOKUP(I49,Normtijden_Config!$A$4:$S$55,11,FALSE())),"")</f>
        <v/>
      </c>
      <c r="O49" s="15"/>
      <c r="P49" s="15"/>
      <c r="Q49" s="39"/>
      <c r="R49" s="39"/>
      <c r="S49" s="38" t="str">
        <f t="shared" si="20"/>
        <v/>
      </c>
      <c r="T49" s="38" t="str">
        <f t="shared" si="21"/>
        <v/>
      </c>
      <c r="U49" s="38" t="str">
        <f t="shared" ca="1" si="22"/>
        <v/>
      </c>
      <c r="V49" s="38">
        <f t="shared" ca="1" si="23"/>
        <v>0</v>
      </c>
      <c r="W49" s="18" t="str">
        <f t="shared" ca="1" si="24"/>
        <v>n.v.t.</v>
      </c>
      <c r="X49" s="17" t="str">
        <f t="shared" ca="1" si="25"/>
        <v>ONBEKEND</v>
      </c>
      <c r="Y49" s="17" t="b">
        <f t="shared" ca="1" si="26"/>
        <v>0</v>
      </c>
      <c r="Z49" s="17" t="b">
        <f t="shared" si="27"/>
        <v>0</v>
      </c>
      <c r="AA49" s="17" t="b">
        <f t="shared" ca="1" si="28"/>
        <v>0</v>
      </c>
      <c r="AB49" s="20" t="str">
        <f t="shared" ca="1" si="29"/>
        <v/>
      </c>
      <c r="AC49" s="15"/>
      <c r="AD49" s="15"/>
      <c r="AE49" s="21"/>
      <c r="AF49" s="22"/>
    </row>
    <row r="50" spans="1:32" ht="15" customHeight="1" x14ac:dyDescent="0.3">
      <c r="A50" s="15"/>
      <c r="B50" s="17" t="str">
        <f t="shared" si="15"/>
        <v/>
      </c>
      <c r="C50" s="38" t="str">
        <f t="shared" si="16"/>
        <v/>
      </c>
      <c r="D50" s="17" t="str">
        <f t="shared" si="17"/>
        <v/>
      </c>
      <c r="E50" s="17" t="str">
        <f t="shared" si="18"/>
        <v/>
      </c>
      <c r="F50" s="15"/>
      <c r="G50" s="15"/>
      <c r="H50" s="15"/>
      <c r="I50" s="17" t="str">
        <f t="shared" si="19"/>
        <v/>
      </c>
      <c r="J50" s="18" t="str">
        <f>IFERROR(IF(I50="","",VLOOKUP(I50,Normtijden_Config!$A$4:$S$55,7,FALSE())),"")</f>
        <v/>
      </c>
      <c r="K50" s="17" t="str">
        <f>IFERROR(IF(I50="","",VLOOKUP(I50,Normtijden_Config!$A$4:$S$55,8,FALSE())),"")</f>
        <v/>
      </c>
      <c r="L50" s="18" t="str">
        <f>IF(I50="","",IFERROR(  IF(VLOOKUP(I50,Normtijden_Config!$A$4:$S$55,9,FALSE())&lt;&gt;"",     VLOOKUP(I50,Normtijden_Config!$A$4:$S$55,9,FALSE()),     IFERROR(-INDEX(tbl_Offsets_Wd,MATCH(K50&amp;"|"&amp;D50&amp;"|"&amp;E50,tbl_Offsets_Key,0)),"")),""))</f>
        <v/>
      </c>
      <c r="M50" s="17" t="str">
        <f>IFERROR(IF(I50="","",VLOOKUP(I50,Normtijden_Config!$A$4:$S$55,10,FALSE())),"")</f>
        <v/>
      </c>
      <c r="N50" s="17" t="str">
        <f>IFERROR(IF(I50="","",VLOOKUP(I50,Normtijden_Config!$A$4:$S$55,11,FALSE())),"")</f>
        <v/>
      </c>
      <c r="O50" s="15"/>
      <c r="P50" s="15"/>
      <c r="Q50" s="39"/>
      <c r="R50" s="39"/>
      <c r="S50" s="38" t="str">
        <f t="shared" si="20"/>
        <v/>
      </c>
      <c r="T50" s="38" t="str">
        <f t="shared" si="21"/>
        <v/>
      </c>
      <c r="U50" s="38" t="str">
        <f t="shared" ca="1" si="22"/>
        <v/>
      </c>
      <c r="V50" s="38">
        <f t="shared" ca="1" si="23"/>
        <v>0</v>
      </c>
      <c r="W50" s="18" t="str">
        <f t="shared" ca="1" si="24"/>
        <v>n.v.t.</v>
      </c>
      <c r="X50" s="17" t="str">
        <f t="shared" ca="1" si="25"/>
        <v>ONBEKEND</v>
      </c>
      <c r="Y50" s="17" t="b">
        <f t="shared" ca="1" si="26"/>
        <v>0</v>
      </c>
      <c r="Z50" s="17" t="b">
        <f t="shared" si="27"/>
        <v>0</v>
      </c>
      <c r="AA50" s="17" t="b">
        <f t="shared" ca="1" si="28"/>
        <v>0</v>
      </c>
      <c r="AB50" s="20" t="str">
        <f t="shared" ca="1" si="29"/>
        <v/>
      </c>
      <c r="AC50" s="15"/>
      <c r="AD50" s="15"/>
      <c r="AE50" s="21"/>
      <c r="AF50" s="22"/>
    </row>
    <row r="51" spans="1:32" ht="15" customHeight="1" x14ac:dyDescent="0.3">
      <c r="A51" s="15"/>
      <c r="B51" s="17" t="str">
        <f t="shared" si="15"/>
        <v/>
      </c>
      <c r="C51" s="38" t="str">
        <f t="shared" si="16"/>
        <v/>
      </c>
      <c r="D51" s="17" t="str">
        <f t="shared" si="17"/>
        <v/>
      </c>
      <c r="E51" s="17" t="str">
        <f t="shared" si="18"/>
        <v/>
      </c>
      <c r="F51" s="15"/>
      <c r="G51" s="15"/>
      <c r="H51" s="15"/>
      <c r="I51" s="17" t="str">
        <f t="shared" si="19"/>
        <v/>
      </c>
      <c r="J51" s="18" t="str">
        <f>IFERROR(IF(I51="","",VLOOKUP(I51,Normtijden_Config!$A$4:$S$55,7,FALSE())),"")</f>
        <v/>
      </c>
      <c r="K51" s="17" t="str">
        <f>IFERROR(IF(I51="","",VLOOKUP(I51,Normtijden_Config!$A$4:$S$55,8,FALSE())),"")</f>
        <v/>
      </c>
      <c r="L51" s="18" t="str">
        <f>IF(I51="","",IFERROR(  IF(VLOOKUP(I51,Normtijden_Config!$A$4:$S$55,9,FALSE())&lt;&gt;"",     VLOOKUP(I51,Normtijden_Config!$A$4:$S$55,9,FALSE()),     IFERROR(-INDEX(tbl_Offsets_Wd,MATCH(K51&amp;"|"&amp;D51&amp;"|"&amp;E51,tbl_Offsets_Key,0)),"")),""))</f>
        <v/>
      </c>
      <c r="M51" s="17" t="str">
        <f>IFERROR(IF(I51="","",VLOOKUP(I51,Normtijden_Config!$A$4:$S$55,10,FALSE())),"")</f>
        <v/>
      </c>
      <c r="N51" s="17" t="str">
        <f>IFERROR(IF(I51="","",VLOOKUP(I51,Normtijden_Config!$A$4:$S$55,11,FALSE())),"")</f>
        <v/>
      </c>
      <c r="O51" s="15"/>
      <c r="P51" s="15"/>
      <c r="Q51" s="39"/>
      <c r="R51" s="39"/>
      <c r="S51" s="38" t="str">
        <f t="shared" si="20"/>
        <v/>
      </c>
      <c r="T51" s="38" t="str">
        <f t="shared" si="21"/>
        <v/>
      </c>
      <c r="U51" s="38" t="str">
        <f t="shared" ca="1" si="22"/>
        <v/>
      </c>
      <c r="V51" s="38">
        <f t="shared" ca="1" si="23"/>
        <v>0</v>
      </c>
      <c r="W51" s="18" t="str">
        <f t="shared" ca="1" si="24"/>
        <v>n.v.t.</v>
      </c>
      <c r="X51" s="17" t="str">
        <f t="shared" ca="1" si="25"/>
        <v>ONBEKEND</v>
      </c>
      <c r="Y51" s="17" t="b">
        <f t="shared" ca="1" si="26"/>
        <v>0</v>
      </c>
      <c r="Z51" s="17" t="b">
        <f t="shared" si="27"/>
        <v>0</v>
      </c>
      <c r="AA51" s="17" t="b">
        <f t="shared" ca="1" si="28"/>
        <v>0</v>
      </c>
      <c r="AB51" s="20" t="str">
        <f t="shared" ca="1" si="29"/>
        <v/>
      </c>
      <c r="AC51" s="15"/>
      <c r="AD51" s="15"/>
      <c r="AE51" s="21"/>
      <c r="AF51" s="22"/>
    </row>
    <row r="52" spans="1:32" ht="15" customHeight="1" x14ac:dyDescent="0.3">
      <c r="A52" s="15"/>
      <c r="B52" s="17" t="str">
        <f t="shared" si="15"/>
        <v/>
      </c>
      <c r="C52" s="38" t="str">
        <f t="shared" si="16"/>
        <v/>
      </c>
      <c r="D52" s="17" t="str">
        <f t="shared" si="17"/>
        <v/>
      </c>
      <c r="E52" s="17" t="str">
        <f t="shared" si="18"/>
        <v/>
      </c>
      <c r="F52" s="15"/>
      <c r="G52" s="15"/>
      <c r="H52" s="15"/>
      <c r="I52" s="17" t="str">
        <f t="shared" si="19"/>
        <v/>
      </c>
      <c r="J52" s="18" t="str">
        <f>IFERROR(IF(I52="","",VLOOKUP(I52,Normtijden_Config!$A$4:$S$55,7,FALSE())),"")</f>
        <v/>
      </c>
      <c r="K52" s="17" t="str">
        <f>IFERROR(IF(I52="","",VLOOKUP(I52,Normtijden_Config!$A$4:$S$55,8,FALSE())),"")</f>
        <v/>
      </c>
      <c r="L52" s="18" t="str">
        <f>IF(I52="","",IFERROR(  IF(VLOOKUP(I52,Normtijden_Config!$A$4:$S$55,9,FALSE())&lt;&gt;"",     VLOOKUP(I52,Normtijden_Config!$A$4:$S$55,9,FALSE()),     IFERROR(-INDEX(tbl_Offsets_Wd,MATCH(K52&amp;"|"&amp;D52&amp;"|"&amp;E52,tbl_Offsets_Key,0)),"")),""))</f>
        <v/>
      </c>
      <c r="M52" s="17" t="str">
        <f>IFERROR(IF(I52="","",VLOOKUP(I52,Normtijden_Config!$A$4:$S$55,10,FALSE())),"")</f>
        <v/>
      </c>
      <c r="N52" s="17" t="str">
        <f>IFERROR(IF(I52="","",VLOOKUP(I52,Normtijden_Config!$A$4:$S$55,11,FALSE())),"")</f>
        <v/>
      </c>
      <c r="O52" s="15"/>
      <c r="P52" s="15"/>
      <c r="Q52" s="39"/>
      <c r="R52" s="39"/>
      <c r="S52" s="38" t="str">
        <f t="shared" si="20"/>
        <v/>
      </c>
      <c r="T52" s="38" t="str">
        <f t="shared" si="21"/>
        <v/>
      </c>
      <c r="U52" s="38" t="str">
        <f t="shared" ca="1" si="22"/>
        <v/>
      </c>
      <c r="V52" s="38">
        <f t="shared" ca="1" si="23"/>
        <v>0</v>
      </c>
      <c r="W52" s="18" t="str">
        <f t="shared" ca="1" si="24"/>
        <v>n.v.t.</v>
      </c>
      <c r="X52" s="17" t="str">
        <f t="shared" ca="1" si="25"/>
        <v>ONBEKEND</v>
      </c>
      <c r="Y52" s="17" t="b">
        <f t="shared" ca="1" si="26"/>
        <v>0</v>
      </c>
      <c r="Z52" s="17" t="b">
        <f t="shared" si="27"/>
        <v>0</v>
      </c>
      <c r="AA52" s="17" t="b">
        <f t="shared" ca="1" si="28"/>
        <v>0</v>
      </c>
      <c r="AB52" s="20" t="str">
        <f t="shared" ca="1" si="29"/>
        <v/>
      </c>
      <c r="AC52" s="15"/>
      <c r="AD52" s="15"/>
      <c r="AE52" s="21"/>
      <c r="AF52" s="22"/>
    </row>
    <row r="53" spans="1:32" ht="15" customHeight="1" x14ac:dyDescent="0.3">
      <c r="A53" s="15"/>
      <c r="B53" s="17" t="str">
        <f t="shared" si="15"/>
        <v/>
      </c>
      <c r="C53" s="38" t="str">
        <f t="shared" si="16"/>
        <v/>
      </c>
      <c r="D53" s="17" t="str">
        <f t="shared" si="17"/>
        <v/>
      </c>
      <c r="E53" s="17" t="str">
        <f t="shared" si="18"/>
        <v/>
      </c>
      <c r="F53" s="15"/>
      <c r="G53" s="15"/>
      <c r="H53" s="15"/>
      <c r="I53" s="17" t="str">
        <f t="shared" si="19"/>
        <v/>
      </c>
      <c r="J53" s="18" t="str">
        <f>IFERROR(IF(I53="","",VLOOKUP(I53,Normtijden_Config!$A$4:$S$55,7,FALSE())),"")</f>
        <v/>
      </c>
      <c r="K53" s="17" t="str">
        <f>IFERROR(IF(I53="","",VLOOKUP(I53,Normtijden_Config!$A$4:$S$55,8,FALSE())),"")</f>
        <v/>
      </c>
      <c r="L53" s="18" t="str">
        <f>IF(I53="","",IFERROR(  IF(VLOOKUP(I53,Normtijden_Config!$A$4:$S$55,9,FALSE())&lt;&gt;"",     VLOOKUP(I53,Normtijden_Config!$A$4:$S$55,9,FALSE()),     IFERROR(-INDEX(tbl_Offsets_Wd,MATCH(K53&amp;"|"&amp;D53&amp;"|"&amp;E53,tbl_Offsets_Key,0)),"")),""))</f>
        <v/>
      </c>
      <c r="M53" s="17" t="str">
        <f>IFERROR(IF(I53="","",VLOOKUP(I53,Normtijden_Config!$A$4:$S$55,10,FALSE())),"")</f>
        <v/>
      </c>
      <c r="N53" s="17" t="str">
        <f>IFERROR(IF(I53="","",VLOOKUP(I53,Normtijden_Config!$A$4:$S$55,11,FALSE())),"")</f>
        <v/>
      </c>
      <c r="O53" s="15"/>
      <c r="P53" s="15"/>
      <c r="Q53" s="39"/>
      <c r="R53" s="39"/>
      <c r="S53" s="38" t="str">
        <f t="shared" si="20"/>
        <v/>
      </c>
      <c r="T53" s="38" t="str">
        <f t="shared" si="21"/>
        <v/>
      </c>
      <c r="U53" s="38" t="str">
        <f t="shared" ca="1" si="22"/>
        <v/>
      </c>
      <c r="V53" s="38">
        <f t="shared" ca="1" si="23"/>
        <v>0</v>
      </c>
      <c r="W53" s="18" t="str">
        <f t="shared" ca="1" si="24"/>
        <v>n.v.t.</v>
      </c>
      <c r="X53" s="17" t="str">
        <f t="shared" ca="1" si="25"/>
        <v>ONBEKEND</v>
      </c>
      <c r="Y53" s="17" t="b">
        <f t="shared" ca="1" si="26"/>
        <v>0</v>
      </c>
      <c r="Z53" s="17" t="b">
        <f t="shared" si="27"/>
        <v>0</v>
      </c>
      <c r="AA53" s="17" t="b">
        <f t="shared" ca="1" si="28"/>
        <v>0</v>
      </c>
      <c r="AB53" s="20" t="str">
        <f t="shared" ca="1" si="29"/>
        <v/>
      </c>
      <c r="AC53" s="15"/>
      <c r="AD53" s="15"/>
      <c r="AE53" s="21"/>
      <c r="AF53" s="22"/>
    </row>
    <row r="54" spans="1:32" ht="15" customHeight="1" x14ac:dyDescent="0.3">
      <c r="A54" s="15"/>
      <c r="B54" s="17" t="str">
        <f t="shared" si="15"/>
        <v/>
      </c>
      <c r="C54" s="38" t="str">
        <f t="shared" si="16"/>
        <v/>
      </c>
      <c r="D54" s="17" t="str">
        <f t="shared" si="17"/>
        <v/>
      </c>
      <c r="E54" s="17" t="str">
        <f t="shared" si="18"/>
        <v/>
      </c>
      <c r="F54" s="15"/>
      <c r="G54" s="15"/>
      <c r="H54" s="15"/>
      <c r="I54" s="17" t="str">
        <f t="shared" si="19"/>
        <v/>
      </c>
      <c r="J54" s="18" t="str">
        <f>IFERROR(IF(I54="","",VLOOKUP(I54,Normtijden_Config!$A$4:$S$55,7,FALSE())),"")</f>
        <v/>
      </c>
      <c r="K54" s="17" t="str">
        <f>IFERROR(IF(I54="","",VLOOKUP(I54,Normtijden_Config!$A$4:$S$55,8,FALSE())),"")</f>
        <v/>
      </c>
      <c r="L54" s="18" t="str">
        <f>IF(I54="","",IFERROR(  IF(VLOOKUP(I54,Normtijden_Config!$A$4:$S$55,9,FALSE())&lt;&gt;"",     VLOOKUP(I54,Normtijden_Config!$A$4:$S$55,9,FALSE()),     IFERROR(-INDEX(tbl_Offsets_Wd,MATCH(K54&amp;"|"&amp;D54&amp;"|"&amp;E54,tbl_Offsets_Key,0)),"")),""))</f>
        <v/>
      </c>
      <c r="M54" s="17" t="str">
        <f>IFERROR(IF(I54="","",VLOOKUP(I54,Normtijden_Config!$A$4:$S$55,10,FALSE())),"")</f>
        <v/>
      </c>
      <c r="N54" s="17" t="str">
        <f>IFERROR(IF(I54="","",VLOOKUP(I54,Normtijden_Config!$A$4:$S$55,11,FALSE())),"")</f>
        <v/>
      </c>
      <c r="O54" s="15"/>
      <c r="P54" s="15"/>
      <c r="Q54" s="39"/>
      <c r="R54" s="39"/>
      <c r="S54" s="38" t="str">
        <f t="shared" si="20"/>
        <v/>
      </c>
      <c r="T54" s="38" t="str">
        <f t="shared" si="21"/>
        <v/>
      </c>
      <c r="U54" s="38" t="str">
        <f t="shared" ca="1" si="22"/>
        <v/>
      </c>
      <c r="V54" s="38">
        <f t="shared" ca="1" si="23"/>
        <v>0</v>
      </c>
      <c r="W54" s="18" t="str">
        <f t="shared" ca="1" si="24"/>
        <v>n.v.t.</v>
      </c>
      <c r="X54" s="17" t="str">
        <f t="shared" ca="1" si="25"/>
        <v>ONBEKEND</v>
      </c>
      <c r="Y54" s="17" t="b">
        <f t="shared" ca="1" si="26"/>
        <v>0</v>
      </c>
      <c r="Z54" s="17" t="b">
        <f t="shared" si="27"/>
        <v>0</v>
      </c>
      <c r="AA54" s="17" t="b">
        <f t="shared" ca="1" si="28"/>
        <v>0</v>
      </c>
      <c r="AB54" s="20" t="str">
        <f t="shared" ca="1" si="29"/>
        <v/>
      </c>
      <c r="AC54" s="15"/>
      <c r="AD54" s="15"/>
      <c r="AE54" s="21"/>
      <c r="AF54" s="22"/>
    </row>
    <row r="55" spans="1:32" ht="15" customHeight="1" x14ac:dyDescent="0.3">
      <c r="A55" s="15"/>
      <c r="B55" s="17" t="str">
        <f t="shared" si="15"/>
        <v/>
      </c>
      <c r="C55" s="38" t="str">
        <f t="shared" si="16"/>
        <v/>
      </c>
      <c r="D55" s="17" t="str">
        <f t="shared" si="17"/>
        <v/>
      </c>
      <c r="E55" s="17" t="str">
        <f t="shared" si="18"/>
        <v/>
      </c>
      <c r="F55" s="15"/>
      <c r="G55" s="15"/>
      <c r="H55" s="15"/>
      <c r="I55" s="17" t="str">
        <f t="shared" si="19"/>
        <v/>
      </c>
      <c r="J55" s="18" t="str">
        <f>IFERROR(IF(I55="","",VLOOKUP(I55,Normtijden_Config!$A$4:$S$55,7,FALSE())),"")</f>
        <v/>
      </c>
      <c r="K55" s="17" t="str">
        <f>IFERROR(IF(I55="","",VLOOKUP(I55,Normtijden_Config!$A$4:$S$55,8,FALSE())),"")</f>
        <v/>
      </c>
      <c r="L55" s="18" t="str">
        <f>IF(I55="","",IFERROR(  IF(VLOOKUP(I55,Normtijden_Config!$A$4:$S$55,9,FALSE())&lt;&gt;"",     VLOOKUP(I55,Normtijden_Config!$A$4:$S$55,9,FALSE()),     IFERROR(-INDEX(tbl_Offsets_Wd,MATCH(K55&amp;"|"&amp;D55&amp;"|"&amp;E55,tbl_Offsets_Key,0)),"")),""))</f>
        <v/>
      </c>
      <c r="M55" s="17" t="str">
        <f>IFERROR(IF(I55="","",VLOOKUP(I55,Normtijden_Config!$A$4:$S$55,10,FALSE())),"")</f>
        <v/>
      </c>
      <c r="N55" s="17" t="str">
        <f>IFERROR(IF(I55="","",VLOOKUP(I55,Normtijden_Config!$A$4:$S$55,11,FALSE())),"")</f>
        <v/>
      </c>
      <c r="O55" s="15"/>
      <c r="P55" s="15"/>
      <c r="Q55" s="39"/>
      <c r="R55" s="39"/>
      <c r="S55" s="38" t="str">
        <f t="shared" si="20"/>
        <v/>
      </c>
      <c r="T55" s="38" t="str">
        <f t="shared" si="21"/>
        <v/>
      </c>
      <c r="U55" s="38" t="str">
        <f t="shared" ca="1" si="22"/>
        <v/>
      </c>
      <c r="V55" s="38">
        <f t="shared" ca="1" si="23"/>
        <v>0</v>
      </c>
      <c r="W55" s="18" t="str">
        <f t="shared" ca="1" si="24"/>
        <v>n.v.t.</v>
      </c>
      <c r="X55" s="17" t="str">
        <f t="shared" ca="1" si="25"/>
        <v>ONBEKEND</v>
      </c>
      <c r="Y55" s="17" t="b">
        <f t="shared" ca="1" si="26"/>
        <v>0</v>
      </c>
      <c r="Z55" s="17" t="b">
        <f t="shared" si="27"/>
        <v>0</v>
      </c>
      <c r="AA55" s="17" t="b">
        <f t="shared" ca="1" si="28"/>
        <v>0</v>
      </c>
      <c r="AB55" s="20" t="str">
        <f t="shared" ca="1" si="29"/>
        <v/>
      </c>
      <c r="AC55" s="15"/>
      <c r="AD55" s="15"/>
      <c r="AE55" s="21"/>
      <c r="AF55" s="22"/>
    </row>
    <row r="56" spans="1:32" ht="15" customHeight="1" x14ac:dyDescent="0.3">
      <c r="A56" s="15"/>
      <c r="B56" s="17" t="str">
        <f t="shared" si="15"/>
        <v/>
      </c>
      <c r="C56" s="38" t="str">
        <f t="shared" si="16"/>
        <v/>
      </c>
      <c r="D56" s="17" t="str">
        <f t="shared" si="17"/>
        <v/>
      </c>
      <c r="E56" s="17" t="str">
        <f t="shared" si="18"/>
        <v/>
      </c>
      <c r="F56" s="15"/>
      <c r="G56" s="15"/>
      <c r="H56" s="15"/>
      <c r="I56" s="17" t="str">
        <f t="shared" si="19"/>
        <v/>
      </c>
      <c r="J56" s="18" t="str">
        <f>IFERROR(IF(I56="","",VLOOKUP(I56,Normtijden_Config!$A$4:$S$55,7,FALSE())),"")</f>
        <v/>
      </c>
      <c r="K56" s="17" t="str">
        <f>IFERROR(IF(I56="","",VLOOKUP(I56,Normtijden_Config!$A$4:$S$55,8,FALSE())),"")</f>
        <v/>
      </c>
      <c r="L56" s="18" t="str">
        <f>IF(I56="","",IFERROR(  IF(VLOOKUP(I56,Normtijden_Config!$A$4:$S$55,9,FALSE())&lt;&gt;"",     VLOOKUP(I56,Normtijden_Config!$A$4:$S$55,9,FALSE()),     IFERROR(-INDEX(tbl_Offsets_Wd,MATCH(K56&amp;"|"&amp;D56&amp;"|"&amp;E56,tbl_Offsets_Key,0)),"")),""))</f>
        <v/>
      </c>
      <c r="M56" s="17" t="str">
        <f>IFERROR(IF(I56="","",VLOOKUP(I56,Normtijden_Config!$A$4:$S$55,10,FALSE())),"")</f>
        <v/>
      </c>
      <c r="N56" s="17" t="str">
        <f>IFERROR(IF(I56="","",VLOOKUP(I56,Normtijden_Config!$A$4:$S$55,11,FALSE())),"")</f>
        <v/>
      </c>
      <c r="O56" s="15"/>
      <c r="P56" s="15"/>
      <c r="Q56" s="39"/>
      <c r="R56" s="39"/>
      <c r="S56" s="38" t="str">
        <f t="shared" si="20"/>
        <v/>
      </c>
      <c r="T56" s="38" t="str">
        <f t="shared" si="21"/>
        <v/>
      </c>
      <c r="U56" s="38" t="str">
        <f t="shared" ca="1" si="22"/>
        <v/>
      </c>
      <c r="V56" s="38">
        <f t="shared" ca="1" si="23"/>
        <v>0</v>
      </c>
      <c r="W56" s="18" t="str">
        <f t="shared" ca="1" si="24"/>
        <v>n.v.t.</v>
      </c>
      <c r="X56" s="17" t="str">
        <f t="shared" ca="1" si="25"/>
        <v>ONBEKEND</v>
      </c>
      <c r="Y56" s="17" t="b">
        <f t="shared" ca="1" si="26"/>
        <v>0</v>
      </c>
      <c r="Z56" s="17" t="b">
        <f t="shared" si="27"/>
        <v>0</v>
      </c>
      <c r="AA56" s="17" t="b">
        <f t="shared" ca="1" si="28"/>
        <v>0</v>
      </c>
      <c r="AB56" s="20" t="str">
        <f t="shared" ca="1" si="29"/>
        <v/>
      </c>
      <c r="AC56" s="15"/>
      <c r="AD56" s="15"/>
      <c r="AE56" s="21"/>
      <c r="AF56" s="22"/>
    </row>
    <row r="57" spans="1:32" ht="15" customHeight="1" x14ac:dyDescent="0.3">
      <c r="A57" s="15"/>
      <c r="B57" s="17" t="str">
        <f t="shared" si="15"/>
        <v/>
      </c>
      <c r="C57" s="38" t="str">
        <f t="shared" si="16"/>
        <v/>
      </c>
      <c r="D57" s="17" t="str">
        <f t="shared" si="17"/>
        <v/>
      </c>
      <c r="E57" s="17" t="str">
        <f t="shared" si="18"/>
        <v/>
      </c>
      <c r="F57" s="15"/>
      <c r="G57" s="15"/>
      <c r="H57" s="15"/>
      <c r="I57" s="17" t="str">
        <f t="shared" si="19"/>
        <v/>
      </c>
      <c r="J57" s="18" t="str">
        <f>IFERROR(IF(I57="","",VLOOKUP(I57,Normtijden_Config!$A$4:$S$55,7,FALSE())),"")</f>
        <v/>
      </c>
      <c r="K57" s="17" t="str">
        <f>IFERROR(IF(I57="","",VLOOKUP(I57,Normtijden_Config!$A$4:$S$55,8,FALSE())),"")</f>
        <v/>
      </c>
      <c r="L57" s="18" t="str">
        <f>IF(I57="","",IFERROR(  IF(VLOOKUP(I57,Normtijden_Config!$A$4:$S$55,9,FALSE())&lt;&gt;"",     VLOOKUP(I57,Normtijden_Config!$A$4:$S$55,9,FALSE()),     IFERROR(-INDEX(tbl_Offsets_Wd,MATCH(K57&amp;"|"&amp;D57&amp;"|"&amp;E57,tbl_Offsets_Key,0)),"")),""))</f>
        <v/>
      </c>
      <c r="M57" s="17" t="str">
        <f>IFERROR(IF(I57="","",VLOOKUP(I57,Normtijden_Config!$A$4:$S$55,10,FALSE())),"")</f>
        <v/>
      </c>
      <c r="N57" s="17" t="str">
        <f>IFERROR(IF(I57="","",VLOOKUP(I57,Normtijden_Config!$A$4:$S$55,11,FALSE())),"")</f>
        <v/>
      </c>
      <c r="O57" s="15"/>
      <c r="P57" s="15"/>
      <c r="Q57" s="39"/>
      <c r="R57" s="39"/>
      <c r="S57" s="38" t="str">
        <f t="shared" si="20"/>
        <v/>
      </c>
      <c r="T57" s="38" t="str">
        <f t="shared" si="21"/>
        <v/>
      </c>
      <c r="U57" s="38" t="str">
        <f t="shared" ca="1" si="22"/>
        <v/>
      </c>
      <c r="V57" s="38">
        <f t="shared" ca="1" si="23"/>
        <v>0</v>
      </c>
      <c r="W57" s="18" t="str">
        <f t="shared" ca="1" si="24"/>
        <v>n.v.t.</v>
      </c>
      <c r="X57" s="17" t="str">
        <f t="shared" ca="1" si="25"/>
        <v>ONBEKEND</v>
      </c>
      <c r="Y57" s="17" t="b">
        <f t="shared" ca="1" si="26"/>
        <v>0</v>
      </c>
      <c r="Z57" s="17" t="b">
        <f t="shared" si="27"/>
        <v>0</v>
      </c>
      <c r="AA57" s="17" t="b">
        <f t="shared" ca="1" si="28"/>
        <v>0</v>
      </c>
      <c r="AB57" s="20" t="str">
        <f t="shared" ca="1" si="29"/>
        <v/>
      </c>
      <c r="AC57" s="15"/>
      <c r="AD57" s="15"/>
      <c r="AE57" s="21"/>
      <c r="AF57" s="22"/>
    </row>
    <row r="58" spans="1:32" ht="15" customHeight="1" x14ac:dyDescent="0.3">
      <c r="A58" s="15"/>
      <c r="B58" s="17" t="str">
        <f t="shared" si="15"/>
        <v/>
      </c>
      <c r="C58" s="38" t="str">
        <f t="shared" si="16"/>
        <v/>
      </c>
      <c r="D58" s="17" t="str">
        <f t="shared" si="17"/>
        <v/>
      </c>
      <c r="E58" s="17" t="str">
        <f t="shared" si="18"/>
        <v/>
      </c>
      <c r="F58" s="15"/>
      <c r="G58" s="15"/>
      <c r="H58" s="15"/>
      <c r="I58" s="17" t="str">
        <f t="shared" si="19"/>
        <v/>
      </c>
      <c r="J58" s="18" t="str">
        <f>IFERROR(IF(I58="","",VLOOKUP(I58,Normtijden_Config!$A$4:$S$55,7,FALSE())),"")</f>
        <v/>
      </c>
      <c r="K58" s="17" t="str">
        <f>IFERROR(IF(I58="","",VLOOKUP(I58,Normtijden_Config!$A$4:$S$55,8,FALSE())),"")</f>
        <v/>
      </c>
      <c r="L58" s="18" t="str">
        <f>IF(I58="","",IFERROR(  IF(VLOOKUP(I58,Normtijden_Config!$A$4:$S$55,9,FALSE())&lt;&gt;"",     VLOOKUP(I58,Normtijden_Config!$A$4:$S$55,9,FALSE()),     IFERROR(-INDEX(tbl_Offsets_Wd,MATCH(K58&amp;"|"&amp;D58&amp;"|"&amp;E58,tbl_Offsets_Key,0)),"")),""))</f>
        <v/>
      </c>
      <c r="M58" s="17" t="str">
        <f>IFERROR(IF(I58="","",VLOOKUP(I58,Normtijden_Config!$A$4:$S$55,10,FALSE())),"")</f>
        <v/>
      </c>
      <c r="N58" s="17" t="str">
        <f>IFERROR(IF(I58="","",VLOOKUP(I58,Normtijden_Config!$A$4:$S$55,11,FALSE())),"")</f>
        <v/>
      </c>
      <c r="O58" s="15"/>
      <c r="P58" s="15"/>
      <c r="Q58" s="39"/>
      <c r="R58" s="39"/>
      <c r="S58" s="38" t="str">
        <f t="shared" si="20"/>
        <v/>
      </c>
      <c r="T58" s="38" t="str">
        <f t="shared" si="21"/>
        <v/>
      </c>
      <c r="U58" s="38" t="str">
        <f t="shared" ca="1" si="22"/>
        <v/>
      </c>
      <c r="V58" s="38">
        <f t="shared" ca="1" si="23"/>
        <v>0</v>
      </c>
      <c r="W58" s="18" t="str">
        <f t="shared" ca="1" si="24"/>
        <v>n.v.t.</v>
      </c>
      <c r="X58" s="17" t="str">
        <f t="shared" ca="1" si="25"/>
        <v>ONBEKEND</v>
      </c>
      <c r="Y58" s="17" t="b">
        <f t="shared" ca="1" si="26"/>
        <v>0</v>
      </c>
      <c r="Z58" s="17" t="b">
        <f t="shared" si="27"/>
        <v>0</v>
      </c>
      <c r="AA58" s="17" t="b">
        <f t="shared" ca="1" si="28"/>
        <v>0</v>
      </c>
      <c r="AB58" s="20" t="str">
        <f t="shared" ca="1" si="29"/>
        <v/>
      </c>
      <c r="AC58" s="15"/>
      <c r="AD58" s="15"/>
      <c r="AE58" s="21"/>
      <c r="AF58" s="22"/>
    </row>
    <row r="59" spans="1:32" ht="15" customHeight="1" x14ac:dyDescent="0.3">
      <c r="A59" s="15"/>
      <c r="B59" s="17" t="str">
        <f t="shared" si="15"/>
        <v/>
      </c>
      <c r="C59" s="38" t="str">
        <f t="shared" si="16"/>
        <v/>
      </c>
      <c r="D59" s="17" t="str">
        <f t="shared" si="17"/>
        <v/>
      </c>
      <c r="E59" s="17" t="str">
        <f t="shared" si="18"/>
        <v/>
      </c>
      <c r="F59" s="15"/>
      <c r="G59" s="15"/>
      <c r="H59" s="15"/>
      <c r="I59" s="17" t="str">
        <f t="shared" si="19"/>
        <v/>
      </c>
      <c r="J59" s="18" t="str">
        <f>IFERROR(IF(I59="","",VLOOKUP(I59,Normtijden_Config!$A$4:$S$55,7,FALSE())),"")</f>
        <v/>
      </c>
      <c r="K59" s="17" t="str">
        <f>IFERROR(IF(I59="","",VLOOKUP(I59,Normtijden_Config!$A$4:$S$55,8,FALSE())),"")</f>
        <v/>
      </c>
      <c r="L59" s="18" t="str">
        <f>IF(I59="","",IFERROR(  IF(VLOOKUP(I59,Normtijden_Config!$A$4:$S$55,9,FALSE())&lt;&gt;"",     VLOOKUP(I59,Normtijden_Config!$A$4:$S$55,9,FALSE()),     IFERROR(-INDEX(tbl_Offsets_Wd,MATCH(K59&amp;"|"&amp;D59&amp;"|"&amp;E59,tbl_Offsets_Key,0)),"")),""))</f>
        <v/>
      </c>
      <c r="M59" s="17" t="str">
        <f>IFERROR(IF(I59="","",VLOOKUP(I59,Normtijden_Config!$A$4:$S$55,10,FALSE())),"")</f>
        <v/>
      </c>
      <c r="N59" s="17" t="str">
        <f>IFERROR(IF(I59="","",VLOOKUP(I59,Normtijden_Config!$A$4:$S$55,11,FALSE())),"")</f>
        <v/>
      </c>
      <c r="O59" s="15"/>
      <c r="P59" s="15"/>
      <c r="Q59" s="39"/>
      <c r="R59" s="39"/>
      <c r="S59" s="38" t="str">
        <f t="shared" si="20"/>
        <v/>
      </c>
      <c r="T59" s="38" t="str">
        <f t="shared" si="21"/>
        <v/>
      </c>
      <c r="U59" s="38" t="str">
        <f t="shared" ca="1" si="22"/>
        <v/>
      </c>
      <c r="V59" s="38">
        <f t="shared" ca="1" si="23"/>
        <v>0</v>
      </c>
      <c r="W59" s="18" t="str">
        <f t="shared" ca="1" si="24"/>
        <v>n.v.t.</v>
      </c>
      <c r="X59" s="17" t="str">
        <f t="shared" ca="1" si="25"/>
        <v>ONBEKEND</v>
      </c>
      <c r="Y59" s="17" t="b">
        <f t="shared" ca="1" si="26"/>
        <v>0</v>
      </c>
      <c r="Z59" s="17" t="b">
        <f t="shared" si="27"/>
        <v>0</v>
      </c>
      <c r="AA59" s="17" t="b">
        <f t="shared" ca="1" si="28"/>
        <v>0</v>
      </c>
      <c r="AB59" s="20" t="str">
        <f t="shared" ca="1" si="29"/>
        <v/>
      </c>
      <c r="AC59" s="15"/>
      <c r="AD59" s="15"/>
      <c r="AE59" s="21"/>
      <c r="AF59" s="22"/>
    </row>
    <row r="60" spans="1:32" ht="15" customHeight="1" x14ac:dyDescent="0.3">
      <c r="A60" s="15"/>
      <c r="B60" s="17" t="str">
        <f t="shared" si="15"/>
        <v/>
      </c>
      <c r="C60" s="38" t="str">
        <f t="shared" si="16"/>
        <v/>
      </c>
      <c r="D60" s="17" t="str">
        <f t="shared" si="17"/>
        <v/>
      </c>
      <c r="E60" s="17" t="str">
        <f t="shared" si="18"/>
        <v/>
      </c>
      <c r="F60" s="15"/>
      <c r="G60" s="15"/>
      <c r="H60" s="15"/>
      <c r="I60" s="17" t="str">
        <f t="shared" si="19"/>
        <v/>
      </c>
      <c r="J60" s="18" t="str">
        <f>IFERROR(IF(I60="","",VLOOKUP(I60,Normtijden_Config!$A$4:$S$55,7,FALSE())),"")</f>
        <v/>
      </c>
      <c r="K60" s="17" t="str">
        <f>IFERROR(IF(I60="","",VLOOKUP(I60,Normtijden_Config!$A$4:$S$55,8,FALSE())),"")</f>
        <v/>
      </c>
      <c r="L60" s="18" t="str">
        <f>IF(I60="","",IFERROR(  IF(VLOOKUP(I60,Normtijden_Config!$A$4:$S$55,9,FALSE())&lt;&gt;"",     VLOOKUP(I60,Normtijden_Config!$A$4:$S$55,9,FALSE()),     IFERROR(-INDEX(tbl_Offsets_Wd,MATCH(K60&amp;"|"&amp;D60&amp;"|"&amp;E60,tbl_Offsets_Key,0)),"")),""))</f>
        <v/>
      </c>
      <c r="M60" s="17" t="str">
        <f>IFERROR(IF(I60="","",VLOOKUP(I60,Normtijden_Config!$A$4:$S$55,10,FALSE())),"")</f>
        <v/>
      </c>
      <c r="N60" s="17" t="str">
        <f>IFERROR(IF(I60="","",VLOOKUP(I60,Normtijden_Config!$A$4:$S$55,11,FALSE())),"")</f>
        <v/>
      </c>
      <c r="O60" s="15"/>
      <c r="P60" s="15"/>
      <c r="Q60" s="39"/>
      <c r="R60" s="39"/>
      <c r="S60" s="38" t="str">
        <f t="shared" si="20"/>
        <v/>
      </c>
      <c r="T60" s="38" t="str">
        <f t="shared" si="21"/>
        <v/>
      </c>
      <c r="U60" s="38" t="str">
        <f t="shared" ca="1" si="22"/>
        <v/>
      </c>
      <c r="V60" s="38">
        <f t="shared" ca="1" si="23"/>
        <v>0</v>
      </c>
      <c r="W60" s="18" t="str">
        <f t="shared" ca="1" si="24"/>
        <v>n.v.t.</v>
      </c>
      <c r="X60" s="17" t="str">
        <f t="shared" ca="1" si="25"/>
        <v>ONBEKEND</v>
      </c>
      <c r="Y60" s="17" t="b">
        <f t="shared" ca="1" si="26"/>
        <v>0</v>
      </c>
      <c r="Z60" s="17" t="b">
        <f t="shared" si="27"/>
        <v>0</v>
      </c>
      <c r="AA60" s="17" t="b">
        <f t="shared" ca="1" si="28"/>
        <v>0</v>
      </c>
      <c r="AB60" s="20" t="str">
        <f t="shared" ca="1" si="29"/>
        <v/>
      </c>
      <c r="AC60" s="15"/>
      <c r="AD60" s="15"/>
      <c r="AE60" s="21"/>
      <c r="AF60" s="22"/>
    </row>
    <row r="61" spans="1:32" ht="15" customHeight="1" x14ac:dyDescent="0.3">
      <c r="A61" s="15"/>
      <c r="B61" s="17" t="str">
        <f t="shared" si="15"/>
        <v/>
      </c>
      <c r="C61" s="38" t="str">
        <f t="shared" si="16"/>
        <v/>
      </c>
      <c r="D61" s="17" t="str">
        <f t="shared" si="17"/>
        <v/>
      </c>
      <c r="E61" s="17" t="str">
        <f t="shared" si="18"/>
        <v/>
      </c>
      <c r="F61" s="15"/>
      <c r="G61" s="15"/>
      <c r="H61" s="15"/>
      <c r="I61" s="17" t="str">
        <f t="shared" si="19"/>
        <v/>
      </c>
      <c r="J61" s="18" t="str">
        <f>IFERROR(IF(I61="","",VLOOKUP(I61,Normtijden_Config!$A$4:$S$55,7,FALSE())),"")</f>
        <v/>
      </c>
      <c r="K61" s="17" t="str">
        <f>IFERROR(IF(I61="","",VLOOKUP(I61,Normtijden_Config!$A$4:$S$55,8,FALSE())),"")</f>
        <v/>
      </c>
      <c r="L61" s="18" t="str">
        <f>IF(I61="","",IFERROR(  IF(VLOOKUP(I61,Normtijden_Config!$A$4:$S$55,9,FALSE())&lt;&gt;"",     VLOOKUP(I61,Normtijden_Config!$A$4:$S$55,9,FALSE()),     IFERROR(-INDEX(tbl_Offsets_Wd,MATCH(K61&amp;"|"&amp;D61&amp;"|"&amp;E61,tbl_Offsets_Key,0)),"")),""))</f>
        <v/>
      </c>
      <c r="M61" s="17" t="str">
        <f>IFERROR(IF(I61="","",VLOOKUP(I61,Normtijden_Config!$A$4:$S$55,10,FALSE())),"")</f>
        <v/>
      </c>
      <c r="N61" s="17" t="str">
        <f>IFERROR(IF(I61="","",VLOOKUP(I61,Normtijden_Config!$A$4:$S$55,11,FALSE())),"")</f>
        <v/>
      </c>
      <c r="O61" s="15"/>
      <c r="P61" s="15"/>
      <c r="Q61" s="39"/>
      <c r="R61" s="39"/>
      <c r="S61" s="38" t="str">
        <f t="shared" si="20"/>
        <v/>
      </c>
      <c r="T61" s="38" t="str">
        <f t="shared" si="21"/>
        <v/>
      </c>
      <c r="U61" s="38" t="str">
        <f t="shared" ca="1" si="22"/>
        <v/>
      </c>
      <c r="V61" s="38">
        <f t="shared" ca="1" si="23"/>
        <v>0</v>
      </c>
      <c r="W61" s="18" t="str">
        <f t="shared" ca="1" si="24"/>
        <v>n.v.t.</v>
      </c>
      <c r="X61" s="17" t="str">
        <f t="shared" ca="1" si="25"/>
        <v>ONBEKEND</v>
      </c>
      <c r="Y61" s="17" t="b">
        <f t="shared" ca="1" si="26"/>
        <v>0</v>
      </c>
      <c r="Z61" s="17" t="b">
        <f t="shared" si="27"/>
        <v>0</v>
      </c>
      <c r="AA61" s="17" t="b">
        <f t="shared" ca="1" si="28"/>
        <v>0</v>
      </c>
      <c r="AB61" s="20" t="str">
        <f t="shared" ca="1" si="29"/>
        <v/>
      </c>
      <c r="AC61" s="15"/>
      <c r="AD61" s="15"/>
      <c r="AE61" s="21"/>
      <c r="AF61" s="22"/>
    </row>
    <row r="62" spans="1:32" ht="15" customHeight="1" x14ac:dyDescent="0.3">
      <c r="A62" s="15"/>
      <c r="B62" s="17" t="str">
        <f t="shared" si="15"/>
        <v/>
      </c>
      <c r="C62" s="38" t="str">
        <f t="shared" si="16"/>
        <v/>
      </c>
      <c r="D62" s="17" t="str">
        <f t="shared" si="17"/>
        <v/>
      </c>
      <c r="E62" s="17" t="str">
        <f t="shared" si="18"/>
        <v/>
      </c>
      <c r="F62" s="15"/>
      <c r="G62" s="15"/>
      <c r="H62" s="15"/>
      <c r="I62" s="17" t="str">
        <f t="shared" si="19"/>
        <v/>
      </c>
      <c r="J62" s="18" t="str">
        <f>IFERROR(IF(I62="","",VLOOKUP(I62,Normtijden_Config!$A$4:$S$55,7,FALSE())),"")</f>
        <v/>
      </c>
      <c r="K62" s="17" t="str">
        <f>IFERROR(IF(I62="","",VLOOKUP(I62,Normtijden_Config!$A$4:$S$55,8,FALSE())),"")</f>
        <v/>
      </c>
      <c r="L62" s="18" t="str">
        <f>IF(I62="","",IFERROR(  IF(VLOOKUP(I62,Normtijden_Config!$A$4:$S$55,9,FALSE())&lt;&gt;"",     VLOOKUP(I62,Normtijden_Config!$A$4:$S$55,9,FALSE()),     IFERROR(-INDEX(tbl_Offsets_Wd,MATCH(K62&amp;"|"&amp;D62&amp;"|"&amp;E62,tbl_Offsets_Key,0)),"")),""))</f>
        <v/>
      </c>
      <c r="M62" s="17" t="str">
        <f>IFERROR(IF(I62="","",VLOOKUP(I62,Normtijden_Config!$A$4:$S$55,10,FALSE())),"")</f>
        <v/>
      </c>
      <c r="N62" s="17" t="str">
        <f>IFERROR(IF(I62="","",VLOOKUP(I62,Normtijden_Config!$A$4:$S$55,11,FALSE())),"")</f>
        <v/>
      </c>
      <c r="O62" s="15"/>
      <c r="P62" s="15"/>
      <c r="Q62" s="39"/>
      <c r="R62" s="39"/>
      <c r="S62" s="38" t="str">
        <f t="shared" si="20"/>
        <v/>
      </c>
      <c r="T62" s="38" t="str">
        <f t="shared" si="21"/>
        <v/>
      </c>
      <c r="U62" s="38" t="str">
        <f t="shared" ca="1" si="22"/>
        <v/>
      </c>
      <c r="V62" s="38">
        <f t="shared" ca="1" si="23"/>
        <v>0</v>
      </c>
      <c r="W62" s="18" t="str">
        <f t="shared" ca="1" si="24"/>
        <v>n.v.t.</v>
      </c>
      <c r="X62" s="17" t="str">
        <f t="shared" ca="1" si="25"/>
        <v>ONBEKEND</v>
      </c>
      <c r="Y62" s="17" t="b">
        <f t="shared" ca="1" si="26"/>
        <v>0</v>
      </c>
      <c r="Z62" s="17" t="b">
        <f t="shared" si="27"/>
        <v>0</v>
      </c>
      <c r="AA62" s="17" t="b">
        <f t="shared" ca="1" si="28"/>
        <v>0</v>
      </c>
      <c r="AB62" s="20" t="str">
        <f t="shared" ca="1" si="29"/>
        <v/>
      </c>
      <c r="AC62" s="15"/>
      <c r="AD62" s="15"/>
      <c r="AE62" s="21"/>
      <c r="AF62" s="22"/>
    </row>
    <row r="63" spans="1:32" ht="15" customHeight="1" x14ac:dyDescent="0.3">
      <c r="A63" s="15"/>
      <c r="B63" s="17" t="str">
        <f t="shared" si="15"/>
        <v/>
      </c>
      <c r="C63" s="38" t="str">
        <f t="shared" si="16"/>
        <v/>
      </c>
      <c r="D63" s="17" t="str">
        <f t="shared" si="17"/>
        <v/>
      </c>
      <c r="E63" s="17" t="str">
        <f t="shared" si="18"/>
        <v/>
      </c>
      <c r="F63" s="15"/>
      <c r="G63" s="15"/>
      <c r="H63" s="15"/>
      <c r="I63" s="17" t="str">
        <f t="shared" si="19"/>
        <v/>
      </c>
      <c r="J63" s="18" t="str">
        <f>IFERROR(IF(I63="","",VLOOKUP(I63,Normtijden_Config!$A$4:$S$55,7,FALSE())),"")</f>
        <v/>
      </c>
      <c r="K63" s="17" t="str">
        <f>IFERROR(IF(I63="","",VLOOKUP(I63,Normtijden_Config!$A$4:$S$55,8,FALSE())),"")</f>
        <v/>
      </c>
      <c r="L63" s="18" t="str">
        <f>IF(I63="","",IFERROR(  IF(VLOOKUP(I63,Normtijden_Config!$A$4:$S$55,9,FALSE())&lt;&gt;"",     VLOOKUP(I63,Normtijden_Config!$A$4:$S$55,9,FALSE()),     IFERROR(-INDEX(tbl_Offsets_Wd,MATCH(K63&amp;"|"&amp;D63&amp;"|"&amp;E63,tbl_Offsets_Key,0)),"")),""))</f>
        <v/>
      </c>
      <c r="M63" s="17" t="str">
        <f>IFERROR(IF(I63="","",VLOOKUP(I63,Normtijden_Config!$A$4:$S$55,10,FALSE())),"")</f>
        <v/>
      </c>
      <c r="N63" s="17" t="str">
        <f>IFERROR(IF(I63="","",VLOOKUP(I63,Normtijden_Config!$A$4:$S$55,11,FALSE())),"")</f>
        <v/>
      </c>
      <c r="O63" s="15"/>
      <c r="P63" s="15"/>
      <c r="Q63" s="39"/>
      <c r="R63" s="39"/>
      <c r="S63" s="38" t="str">
        <f t="shared" si="20"/>
        <v/>
      </c>
      <c r="T63" s="38" t="str">
        <f t="shared" si="21"/>
        <v/>
      </c>
      <c r="U63" s="38" t="str">
        <f t="shared" ca="1" si="22"/>
        <v/>
      </c>
      <c r="V63" s="38">
        <f t="shared" ca="1" si="23"/>
        <v>0</v>
      </c>
      <c r="W63" s="18" t="str">
        <f t="shared" ca="1" si="24"/>
        <v>n.v.t.</v>
      </c>
      <c r="X63" s="17" t="str">
        <f t="shared" ca="1" si="25"/>
        <v>ONBEKEND</v>
      </c>
      <c r="Y63" s="17" t="b">
        <f t="shared" ca="1" si="26"/>
        <v>0</v>
      </c>
      <c r="Z63" s="17" t="b">
        <f t="shared" si="27"/>
        <v>0</v>
      </c>
      <c r="AA63" s="17" t="b">
        <f t="shared" ca="1" si="28"/>
        <v>0</v>
      </c>
      <c r="AB63" s="20" t="str">
        <f t="shared" ca="1" si="29"/>
        <v/>
      </c>
      <c r="AC63" s="15"/>
      <c r="AD63" s="15"/>
      <c r="AE63" s="21"/>
      <c r="AF63" s="22"/>
    </row>
    <row r="64" spans="1:32" ht="15" customHeight="1" x14ac:dyDescent="0.3">
      <c r="A64" s="15"/>
      <c r="B64" s="17" t="str">
        <f t="shared" si="15"/>
        <v/>
      </c>
      <c r="C64" s="38" t="str">
        <f t="shared" si="16"/>
        <v/>
      </c>
      <c r="D64" s="17" t="str">
        <f t="shared" si="17"/>
        <v/>
      </c>
      <c r="E64" s="17" t="str">
        <f t="shared" si="18"/>
        <v/>
      </c>
      <c r="F64" s="15"/>
      <c r="G64" s="15"/>
      <c r="H64" s="15"/>
      <c r="I64" s="17" t="str">
        <f t="shared" si="19"/>
        <v/>
      </c>
      <c r="J64" s="18" t="str">
        <f>IFERROR(IF(I64="","",VLOOKUP(I64,Normtijden_Config!$A$4:$S$55,7,FALSE())),"")</f>
        <v/>
      </c>
      <c r="K64" s="17" t="str">
        <f>IFERROR(IF(I64="","",VLOOKUP(I64,Normtijden_Config!$A$4:$S$55,8,FALSE())),"")</f>
        <v/>
      </c>
      <c r="L64" s="18" t="str">
        <f>IF(I64="","",IFERROR(  IF(VLOOKUP(I64,Normtijden_Config!$A$4:$S$55,9,FALSE())&lt;&gt;"",     VLOOKUP(I64,Normtijden_Config!$A$4:$S$55,9,FALSE()),     IFERROR(-INDEX(tbl_Offsets_Wd,MATCH(K64&amp;"|"&amp;D64&amp;"|"&amp;E64,tbl_Offsets_Key,0)),"")),""))</f>
        <v/>
      </c>
      <c r="M64" s="17" t="str">
        <f>IFERROR(IF(I64="","",VLOOKUP(I64,Normtijden_Config!$A$4:$S$55,10,FALSE())),"")</f>
        <v/>
      </c>
      <c r="N64" s="17" t="str">
        <f>IFERROR(IF(I64="","",VLOOKUP(I64,Normtijden_Config!$A$4:$S$55,11,FALSE())),"")</f>
        <v/>
      </c>
      <c r="O64" s="15"/>
      <c r="P64" s="15"/>
      <c r="Q64" s="39"/>
      <c r="R64" s="39"/>
      <c r="S64" s="38" t="str">
        <f t="shared" si="20"/>
        <v/>
      </c>
      <c r="T64" s="38" t="str">
        <f t="shared" si="21"/>
        <v/>
      </c>
      <c r="U64" s="38" t="str">
        <f t="shared" ca="1" si="22"/>
        <v/>
      </c>
      <c r="V64" s="38">
        <f t="shared" ca="1" si="23"/>
        <v>0</v>
      </c>
      <c r="W64" s="18" t="str">
        <f t="shared" ca="1" si="24"/>
        <v>n.v.t.</v>
      </c>
      <c r="X64" s="17" t="str">
        <f t="shared" ca="1" si="25"/>
        <v>ONBEKEND</v>
      </c>
      <c r="Y64" s="17" t="b">
        <f t="shared" ca="1" si="26"/>
        <v>0</v>
      </c>
      <c r="Z64" s="17" t="b">
        <f t="shared" si="27"/>
        <v>0</v>
      </c>
      <c r="AA64" s="17" t="b">
        <f t="shared" ca="1" si="28"/>
        <v>0</v>
      </c>
      <c r="AB64" s="20" t="str">
        <f t="shared" ca="1" si="29"/>
        <v/>
      </c>
      <c r="AC64" s="15"/>
      <c r="AD64" s="15"/>
      <c r="AE64" s="21"/>
      <c r="AF64" s="22"/>
    </row>
    <row r="65" spans="1:32" ht="15" customHeight="1" x14ac:dyDescent="0.3">
      <c r="A65" s="15"/>
      <c r="B65" s="17" t="str">
        <f t="shared" si="15"/>
        <v/>
      </c>
      <c r="C65" s="38" t="str">
        <f t="shared" si="16"/>
        <v/>
      </c>
      <c r="D65" s="17" t="str">
        <f t="shared" si="17"/>
        <v/>
      </c>
      <c r="E65" s="17" t="str">
        <f t="shared" si="18"/>
        <v/>
      </c>
      <c r="F65" s="15"/>
      <c r="G65" s="15"/>
      <c r="H65" s="15"/>
      <c r="I65" s="17" t="str">
        <f t="shared" si="19"/>
        <v/>
      </c>
      <c r="J65" s="18" t="str">
        <f>IFERROR(IF(I65="","",VLOOKUP(I65,Normtijden_Config!$A$4:$S$55,7,FALSE())),"")</f>
        <v/>
      </c>
      <c r="K65" s="17" t="str">
        <f>IFERROR(IF(I65="","",VLOOKUP(I65,Normtijden_Config!$A$4:$S$55,8,FALSE())),"")</f>
        <v/>
      </c>
      <c r="L65" s="18" t="str">
        <f>IF(I65="","",IFERROR(  IF(VLOOKUP(I65,Normtijden_Config!$A$4:$S$55,9,FALSE())&lt;&gt;"",     VLOOKUP(I65,Normtijden_Config!$A$4:$S$55,9,FALSE()),     IFERROR(-INDEX(tbl_Offsets_Wd,MATCH(K65&amp;"|"&amp;D65&amp;"|"&amp;E65,tbl_Offsets_Key,0)),"")),""))</f>
        <v/>
      </c>
      <c r="M65" s="17" t="str">
        <f>IFERROR(IF(I65="","",VLOOKUP(I65,Normtijden_Config!$A$4:$S$55,10,FALSE())),"")</f>
        <v/>
      </c>
      <c r="N65" s="17" t="str">
        <f>IFERROR(IF(I65="","",VLOOKUP(I65,Normtijden_Config!$A$4:$S$55,11,FALSE())),"")</f>
        <v/>
      </c>
      <c r="O65" s="15"/>
      <c r="P65" s="15"/>
      <c r="Q65" s="39"/>
      <c r="R65" s="39"/>
      <c r="S65" s="38" t="str">
        <f t="shared" si="20"/>
        <v/>
      </c>
      <c r="T65" s="38" t="str">
        <f t="shared" si="21"/>
        <v/>
      </c>
      <c r="U65" s="38" t="str">
        <f t="shared" ca="1" si="22"/>
        <v/>
      </c>
      <c r="V65" s="38">
        <f t="shared" ca="1" si="23"/>
        <v>0</v>
      </c>
      <c r="W65" s="18" t="str">
        <f t="shared" ca="1" si="24"/>
        <v>n.v.t.</v>
      </c>
      <c r="X65" s="17" t="str">
        <f t="shared" ca="1" si="25"/>
        <v>ONBEKEND</v>
      </c>
      <c r="Y65" s="17" t="b">
        <f t="shared" ca="1" si="26"/>
        <v>0</v>
      </c>
      <c r="Z65" s="17" t="b">
        <f t="shared" si="27"/>
        <v>0</v>
      </c>
      <c r="AA65" s="17" t="b">
        <f t="shared" ca="1" si="28"/>
        <v>0</v>
      </c>
      <c r="AB65" s="20" t="str">
        <f t="shared" ca="1" si="29"/>
        <v/>
      </c>
      <c r="AC65" s="15"/>
      <c r="AD65" s="15"/>
      <c r="AE65" s="21"/>
      <c r="AF65" s="22"/>
    </row>
    <row r="66" spans="1:32" ht="15" customHeight="1" x14ac:dyDescent="0.3">
      <c r="A66" s="15"/>
      <c r="B66" s="17" t="str">
        <f t="shared" si="15"/>
        <v/>
      </c>
      <c r="C66" s="38" t="str">
        <f t="shared" si="16"/>
        <v/>
      </c>
      <c r="D66" s="17" t="str">
        <f t="shared" si="17"/>
        <v/>
      </c>
      <c r="E66" s="17" t="str">
        <f t="shared" si="18"/>
        <v/>
      </c>
      <c r="F66" s="15"/>
      <c r="G66" s="15"/>
      <c r="H66" s="15"/>
      <c r="I66" s="17" t="str">
        <f t="shared" si="19"/>
        <v/>
      </c>
      <c r="J66" s="18" t="str">
        <f>IFERROR(IF(I66="","",VLOOKUP(I66,Normtijden_Config!$A$4:$S$55,7,FALSE())),"")</f>
        <v/>
      </c>
      <c r="K66" s="17" t="str">
        <f>IFERROR(IF(I66="","",VLOOKUP(I66,Normtijden_Config!$A$4:$S$55,8,FALSE())),"")</f>
        <v/>
      </c>
      <c r="L66" s="18" t="str">
        <f>IF(I66="","",IFERROR(  IF(VLOOKUP(I66,Normtijden_Config!$A$4:$S$55,9,FALSE())&lt;&gt;"",     VLOOKUP(I66,Normtijden_Config!$A$4:$S$55,9,FALSE()),     IFERROR(-INDEX(tbl_Offsets_Wd,MATCH(K66&amp;"|"&amp;D66&amp;"|"&amp;E66,tbl_Offsets_Key,0)),"")),""))</f>
        <v/>
      </c>
      <c r="M66" s="17" t="str">
        <f>IFERROR(IF(I66="","",VLOOKUP(I66,Normtijden_Config!$A$4:$S$55,10,FALSE())),"")</f>
        <v/>
      </c>
      <c r="N66" s="17" t="str">
        <f>IFERROR(IF(I66="","",VLOOKUP(I66,Normtijden_Config!$A$4:$S$55,11,FALSE())),"")</f>
        <v/>
      </c>
      <c r="O66" s="15"/>
      <c r="P66" s="15"/>
      <c r="Q66" s="39"/>
      <c r="R66" s="39"/>
      <c r="S66" s="38" t="str">
        <f t="shared" si="20"/>
        <v/>
      </c>
      <c r="T66" s="38" t="str">
        <f t="shared" si="21"/>
        <v/>
      </c>
      <c r="U66" s="38" t="str">
        <f t="shared" ca="1" si="22"/>
        <v/>
      </c>
      <c r="V66" s="38">
        <f t="shared" ca="1" si="23"/>
        <v>0</v>
      </c>
      <c r="W66" s="18" t="str">
        <f t="shared" ca="1" si="24"/>
        <v>n.v.t.</v>
      </c>
      <c r="X66" s="17" t="str">
        <f t="shared" ca="1" si="25"/>
        <v>ONBEKEND</v>
      </c>
      <c r="Y66" s="17" t="b">
        <f t="shared" ca="1" si="26"/>
        <v>0</v>
      </c>
      <c r="Z66" s="17" t="b">
        <f t="shared" si="27"/>
        <v>0</v>
      </c>
      <c r="AA66" s="17" t="b">
        <f t="shared" ca="1" si="28"/>
        <v>0</v>
      </c>
      <c r="AB66" s="20" t="str">
        <f t="shared" ca="1" si="29"/>
        <v/>
      </c>
      <c r="AC66" s="15"/>
      <c r="AD66" s="15"/>
      <c r="AE66" s="21"/>
      <c r="AF66" s="22"/>
    </row>
    <row r="67" spans="1:32" ht="15" customHeight="1" x14ac:dyDescent="0.3">
      <c r="A67" s="15"/>
      <c r="B67" s="17" t="str">
        <f t="shared" si="15"/>
        <v/>
      </c>
      <c r="C67" s="38" t="str">
        <f t="shared" si="16"/>
        <v/>
      </c>
      <c r="D67" s="17" t="str">
        <f t="shared" si="17"/>
        <v/>
      </c>
      <c r="E67" s="17" t="str">
        <f t="shared" si="18"/>
        <v/>
      </c>
      <c r="F67" s="15"/>
      <c r="G67" s="15"/>
      <c r="H67" s="15"/>
      <c r="I67" s="17" t="str">
        <f t="shared" si="19"/>
        <v/>
      </c>
      <c r="J67" s="18" t="str">
        <f>IFERROR(IF(I67="","",VLOOKUP(I67,Normtijden_Config!$A$4:$S$55,7,FALSE())),"")</f>
        <v/>
      </c>
      <c r="K67" s="17" t="str">
        <f>IFERROR(IF(I67="","",VLOOKUP(I67,Normtijden_Config!$A$4:$S$55,8,FALSE())),"")</f>
        <v/>
      </c>
      <c r="L67" s="18" t="str">
        <f>IF(I67="","",IFERROR(  IF(VLOOKUP(I67,Normtijden_Config!$A$4:$S$55,9,FALSE())&lt;&gt;"",     VLOOKUP(I67,Normtijden_Config!$A$4:$S$55,9,FALSE()),     IFERROR(-INDEX(tbl_Offsets_Wd,MATCH(K67&amp;"|"&amp;D67&amp;"|"&amp;E67,tbl_Offsets_Key,0)),"")),""))</f>
        <v/>
      </c>
      <c r="M67" s="17" t="str">
        <f>IFERROR(IF(I67="","",VLOOKUP(I67,Normtijden_Config!$A$4:$S$55,10,FALSE())),"")</f>
        <v/>
      </c>
      <c r="N67" s="17" t="str">
        <f>IFERROR(IF(I67="","",VLOOKUP(I67,Normtijden_Config!$A$4:$S$55,11,FALSE())),"")</f>
        <v/>
      </c>
      <c r="O67" s="15"/>
      <c r="P67" s="15"/>
      <c r="Q67" s="39"/>
      <c r="R67" s="39"/>
      <c r="S67" s="38" t="str">
        <f t="shared" si="20"/>
        <v/>
      </c>
      <c r="T67" s="38" t="str">
        <f t="shared" si="21"/>
        <v/>
      </c>
      <c r="U67" s="38" t="str">
        <f t="shared" ca="1" si="22"/>
        <v/>
      </c>
      <c r="V67" s="38">
        <f t="shared" ca="1" si="23"/>
        <v>0</v>
      </c>
      <c r="W67" s="18" t="str">
        <f t="shared" ca="1" si="24"/>
        <v>n.v.t.</v>
      </c>
      <c r="X67" s="17" t="str">
        <f t="shared" ca="1" si="25"/>
        <v>ONBEKEND</v>
      </c>
      <c r="Y67" s="17" t="b">
        <f t="shared" ca="1" si="26"/>
        <v>0</v>
      </c>
      <c r="Z67" s="17" t="b">
        <f t="shared" si="27"/>
        <v>0</v>
      </c>
      <c r="AA67" s="17" t="b">
        <f t="shared" ca="1" si="28"/>
        <v>0</v>
      </c>
      <c r="AB67" s="20" t="str">
        <f t="shared" ca="1" si="29"/>
        <v/>
      </c>
      <c r="AC67" s="15"/>
      <c r="AD67" s="15"/>
      <c r="AE67" s="21"/>
      <c r="AF67" s="22"/>
    </row>
    <row r="68" spans="1:32" ht="15" customHeight="1" x14ac:dyDescent="0.3">
      <c r="A68" s="15"/>
      <c r="B68" s="17" t="str">
        <f t="shared" ref="B68:B99" si="30">IF(A68="","",IFERROR(INDEX(tbl_Proj_Naam,MATCH(A68,tbl_Proj_ID,0)),"—"))</f>
        <v/>
      </c>
      <c r="C68" s="38" t="str">
        <f t="shared" ref="C68:C99" si="31">IF(A68="","",IFERROR(INDEX(tbl_Proj_GSU,MATCH(A68,tbl_Proj_ID,0)),""))</f>
        <v/>
      </c>
      <c r="D68" s="17" t="str">
        <f t="shared" ref="D68:D99" si="32">IF(A68="","",IFERROR(INDEX(tbl_Proj_Rt,MATCH(A68,tbl_Proj_ID,0)),""))</f>
        <v/>
      </c>
      <c r="E68" s="17" t="str">
        <f t="shared" ref="E68:E99" si="33">IF(A68="","",IFERROR(INDEX(tbl_Proj_Vt,MATCH(A68,tbl_Proj_ID,0)),""))</f>
        <v/>
      </c>
      <c r="F68" s="15"/>
      <c r="G68" s="15"/>
      <c r="H68" s="15"/>
      <c r="I68" s="17" t="str">
        <f t="shared" ref="I68:I99" si="34">IF(OR(F68="",H68=""),"",IFERROR(INDEX(tbl_Keuzes_ItemID,MATCH(LEFT(F68,1)&amp;"|"&amp;G68&amp;"|"&amp;H68,tbl_Keuzes_Key,0)),""))</f>
        <v/>
      </c>
      <c r="J68" s="18" t="str">
        <f>IFERROR(IF(I68="","",VLOOKUP(I68,Normtijden_Config!$A$4:$S$55,7,FALSE())),"")</f>
        <v/>
      </c>
      <c r="K68" s="17" t="str">
        <f>IFERROR(IF(I68="","",VLOOKUP(I68,Normtijden_Config!$A$4:$S$55,8,FALSE())),"")</f>
        <v/>
      </c>
      <c r="L68" s="18" t="str">
        <f>IF(I68="","",IFERROR(  IF(VLOOKUP(I68,Normtijden_Config!$A$4:$S$55,9,FALSE())&lt;&gt;"",     VLOOKUP(I68,Normtijden_Config!$A$4:$S$55,9,FALSE()),     IFERROR(-INDEX(tbl_Offsets_Wd,MATCH(K68&amp;"|"&amp;D68&amp;"|"&amp;E68,tbl_Offsets_Key,0)),"")),""))</f>
        <v/>
      </c>
      <c r="M68" s="17" t="str">
        <f>IFERROR(IF(I68="","",VLOOKUP(I68,Normtijden_Config!$A$4:$S$55,10,FALSE())),"")</f>
        <v/>
      </c>
      <c r="N68" s="17" t="str">
        <f>IFERROR(IF(I68="","",VLOOKUP(I68,Normtijden_Config!$A$4:$S$55,11,FALSE())),"")</f>
        <v/>
      </c>
      <c r="O68" s="15"/>
      <c r="P68" s="15"/>
      <c r="Q68" s="39"/>
      <c r="R68" s="39"/>
      <c r="S68" s="38" t="str">
        <f t="shared" ref="S68:S99" si="35">IF(OR(C68="",L68=""),"",WORKDAY(C68,-L68))</f>
        <v/>
      </c>
      <c r="T68" s="38" t="str">
        <f t="shared" ref="T68:T99" si="36">IF(OR(S68="",J68=""),"",WORKDAY(S68,-J68))</f>
        <v/>
      </c>
      <c r="U68" s="38" t="str">
        <f t="shared" ref="U68:U99" ca="1" si="37">IF(R68&lt;&gt;"",R68,IF(AND(Q68&lt;&gt;"",ISNUMBER(J68)),WORKDAY(Q68,J68),IF(AND(P68="Nodig",ISNUMBER(J68)),WORKDAY(TODAY(),J68),"")))</f>
        <v/>
      </c>
      <c r="V68" s="38">
        <f t="shared" ref="V68:V99" ca="1" si="38">IF(OR(P68="Afgerond",P68="Goedgekeurd",P68="N.v.t"),0,IF(OR(U68="",L68=""),0,WORKDAY(U68,L68)))</f>
        <v>0</v>
      </c>
      <c r="W68" s="18" t="str">
        <f t="shared" ref="W68:W99" ca="1" si="39">IF(P68="N.v.t","",IF(OR(P68="Afgerond",P68="Goedgekeurd"),"✓",IF(J68="","n.v.t.",IF(Q68="",J68,J68-NETWORKDAYS(Q68,TODAY())+1))))</f>
        <v>n.v.t.</v>
      </c>
      <c r="X68" s="17" t="str">
        <f t="shared" ref="X68:X99" ca="1" si="40">IF(OR(U68="",S68=""),"ONBEKEND",IF(U68&lt;=S68,"JA",IF(U68&lt;=C68,"KRAP","NEE")))</f>
        <v>ONBEKEND</v>
      </c>
      <c r="Y68" s="17" t="b">
        <f t="shared" ref="Y68:Y99" ca="1" si="41">IF(A68="",FALSE(),OR(X68="KRAP",AND(P68="Nodig",IFERROR(TODAY()&gt;=T68-10,FALSE())),AND(P68="Ingediend",ISNUMBER(W68),W68&lt;=5,W68&gt;0),P68="Afgewezen"))</f>
        <v>0</v>
      </c>
      <c r="Z68" s="17" t="b">
        <f t="shared" ref="Z68:Z99" si="42">IF(A68="",FALSE(),AND(M68=TRUE(),OR(X68="NEE",AND(ISNUMBER(W68),W68&lt;0))))</f>
        <v>0</v>
      </c>
      <c r="AA68" s="17" t="b">
        <f t="shared" ref="AA68:AA99" ca="1" si="43">IF(A68="",FALSE(),AND(N68=TRUE(),OR(P68="Nodig",P68="Ingediend",P68="Afgewezen"),IFERROR(TODAY()&gt;S68,FALSE())))</f>
        <v>0</v>
      </c>
      <c r="AB68" s="20" t="str">
        <f t="shared" ref="AB68:AB99" ca="1" si="44">IF(A68="","",IF(P68="N.v.t","⚪",IF(OR(P68="Afgerond",P68="Goedgekeurd"),"🟢",IF(Z68=TRUE(),"🔴",IF(AA68=TRUE(),"🔴",IF(Y68=TRUE(),"🟠",IF(AND(F68="G-Schouw",J68=""),IF(P68="Ingediend","🟠",IF(AND(C68&lt;&gt;"",TODAY()&gt;C68-28),"🔴","🟠")),"🟢")))))))</f>
        <v/>
      </c>
      <c r="AC68" s="15"/>
      <c r="AD68" s="15"/>
      <c r="AE68" s="21"/>
      <c r="AF68" s="22"/>
    </row>
    <row r="69" spans="1:32" ht="15" customHeight="1" x14ac:dyDescent="0.3">
      <c r="A69" s="15"/>
      <c r="B69" s="17" t="str">
        <f t="shared" si="30"/>
        <v/>
      </c>
      <c r="C69" s="38" t="str">
        <f t="shared" si="31"/>
        <v/>
      </c>
      <c r="D69" s="17" t="str">
        <f t="shared" si="32"/>
        <v/>
      </c>
      <c r="E69" s="17" t="str">
        <f t="shared" si="33"/>
        <v/>
      </c>
      <c r="F69" s="15"/>
      <c r="G69" s="15"/>
      <c r="H69" s="15"/>
      <c r="I69" s="17" t="str">
        <f t="shared" si="34"/>
        <v/>
      </c>
      <c r="J69" s="18" t="str">
        <f>IFERROR(IF(I69="","",VLOOKUP(I69,Normtijden_Config!$A$4:$S$55,7,FALSE())),"")</f>
        <v/>
      </c>
      <c r="K69" s="17" t="str">
        <f>IFERROR(IF(I69="","",VLOOKUP(I69,Normtijden_Config!$A$4:$S$55,8,FALSE())),"")</f>
        <v/>
      </c>
      <c r="L69" s="18" t="str">
        <f>IF(I69="","",IFERROR(  IF(VLOOKUP(I69,Normtijden_Config!$A$4:$S$55,9,FALSE())&lt;&gt;"",     VLOOKUP(I69,Normtijden_Config!$A$4:$S$55,9,FALSE()),     IFERROR(-INDEX(tbl_Offsets_Wd,MATCH(K69&amp;"|"&amp;D69&amp;"|"&amp;E69,tbl_Offsets_Key,0)),"")),""))</f>
        <v/>
      </c>
      <c r="M69" s="17" t="str">
        <f>IFERROR(IF(I69="","",VLOOKUP(I69,Normtijden_Config!$A$4:$S$55,10,FALSE())),"")</f>
        <v/>
      </c>
      <c r="N69" s="17" t="str">
        <f>IFERROR(IF(I69="","",VLOOKUP(I69,Normtijden_Config!$A$4:$S$55,11,FALSE())),"")</f>
        <v/>
      </c>
      <c r="O69" s="15"/>
      <c r="P69" s="15"/>
      <c r="Q69" s="39"/>
      <c r="R69" s="39"/>
      <c r="S69" s="38" t="str">
        <f t="shared" si="35"/>
        <v/>
      </c>
      <c r="T69" s="38" t="str">
        <f t="shared" si="36"/>
        <v/>
      </c>
      <c r="U69" s="38" t="str">
        <f t="shared" ca="1" si="37"/>
        <v/>
      </c>
      <c r="V69" s="38">
        <f t="shared" ca="1" si="38"/>
        <v>0</v>
      </c>
      <c r="W69" s="18" t="str">
        <f t="shared" ca="1" si="39"/>
        <v>n.v.t.</v>
      </c>
      <c r="X69" s="17" t="str">
        <f t="shared" ca="1" si="40"/>
        <v>ONBEKEND</v>
      </c>
      <c r="Y69" s="17" t="b">
        <f t="shared" ca="1" si="41"/>
        <v>0</v>
      </c>
      <c r="Z69" s="17" t="b">
        <f t="shared" si="42"/>
        <v>0</v>
      </c>
      <c r="AA69" s="17" t="b">
        <f t="shared" ca="1" si="43"/>
        <v>0</v>
      </c>
      <c r="AB69" s="20" t="str">
        <f t="shared" ca="1" si="44"/>
        <v/>
      </c>
      <c r="AC69" s="15"/>
      <c r="AD69" s="15"/>
      <c r="AE69" s="21"/>
      <c r="AF69" s="22"/>
    </row>
    <row r="70" spans="1:32" ht="15" customHeight="1" x14ac:dyDescent="0.3">
      <c r="A70" s="15"/>
      <c r="B70" s="17" t="str">
        <f t="shared" si="30"/>
        <v/>
      </c>
      <c r="C70" s="38" t="str">
        <f t="shared" si="31"/>
        <v/>
      </c>
      <c r="D70" s="17" t="str">
        <f t="shared" si="32"/>
        <v/>
      </c>
      <c r="E70" s="17" t="str">
        <f t="shared" si="33"/>
        <v/>
      </c>
      <c r="F70" s="15"/>
      <c r="G70" s="15"/>
      <c r="H70" s="15"/>
      <c r="I70" s="17" t="str">
        <f t="shared" si="34"/>
        <v/>
      </c>
      <c r="J70" s="18" t="str">
        <f>IFERROR(IF(I70="","",VLOOKUP(I70,Normtijden_Config!$A$4:$S$55,7,FALSE())),"")</f>
        <v/>
      </c>
      <c r="K70" s="17" t="str">
        <f>IFERROR(IF(I70="","",VLOOKUP(I70,Normtijden_Config!$A$4:$S$55,8,FALSE())),"")</f>
        <v/>
      </c>
      <c r="L70" s="18" t="str">
        <f>IF(I70="","",IFERROR(  IF(VLOOKUP(I70,Normtijden_Config!$A$4:$S$55,9,FALSE())&lt;&gt;"",     VLOOKUP(I70,Normtijden_Config!$A$4:$S$55,9,FALSE()),     IFERROR(-INDEX(tbl_Offsets_Wd,MATCH(K70&amp;"|"&amp;D70&amp;"|"&amp;E70,tbl_Offsets_Key,0)),"")),""))</f>
        <v/>
      </c>
      <c r="M70" s="17" t="str">
        <f>IFERROR(IF(I70="","",VLOOKUP(I70,Normtijden_Config!$A$4:$S$55,10,FALSE())),"")</f>
        <v/>
      </c>
      <c r="N70" s="17" t="str">
        <f>IFERROR(IF(I70="","",VLOOKUP(I70,Normtijden_Config!$A$4:$S$55,11,FALSE())),"")</f>
        <v/>
      </c>
      <c r="O70" s="15"/>
      <c r="P70" s="15"/>
      <c r="Q70" s="39"/>
      <c r="R70" s="39"/>
      <c r="S70" s="38" t="str">
        <f t="shared" si="35"/>
        <v/>
      </c>
      <c r="T70" s="38" t="str">
        <f t="shared" si="36"/>
        <v/>
      </c>
      <c r="U70" s="38" t="str">
        <f t="shared" ca="1" si="37"/>
        <v/>
      </c>
      <c r="V70" s="38">
        <f t="shared" ca="1" si="38"/>
        <v>0</v>
      </c>
      <c r="W70" s="18" t="str">
        <f t="shared" ca="1" si="39"/>
        <v>n.v.t.</v>
      </c>
      <c r="X70" s="17" t="str">
        <f t="shared" ca="1" si="40"/>
        <v>ONBEKEND</v>
      </c>
      <c r="Y70" s="17" t="b">
        <f t="shared" ca="1" si="41"/>
        <v>0</v>
      </c>
      <c r="Z70" s="17" t="b">
        <f t="shared" si="42"/>
        <v>0</v>
      </c>
      <c r="AA70" s="17" t="b">
        <f t="shared" ca="1" si="43"/>
        <v>0</v>
      </c>
      <c r="AB70" s="20" t="str">
        <f t="shared" ca="1" si="44"/>
        <v/>
      </c>
      <c r="AC70" s="15"/>
      <c r="AD70" s="15"/>
      <c r="AE70" s="21"/>
      <c r="AF70" s="22"/>
    </row>
    <row r="71" spans="1:32" ht="15" customHeight="1" x14ac:dyDescent="0.3">
      <c r="A71" s="15"/>
      <c r="B71" s="17" t="str">
        <f t="shared" si="30"/>
        <v/>
      </c>
      <c r="C71" s="38" t="str">
        <f t="shared" si="31"/>
        <v/>
      </c>
      <c r="D71" s="17" t="str">
        <f t="shared" si="32"/>
        <v/>
      </c>
      <c r="E71" s="17" t="str">
        <f t="shared" si="33"/>
        <v/>
      </c>
      <c r="F71" s="15"/>
      <c r="G71" s="15"/>
      <c r="H71" s="15"/>
      <c r="I71" s="17" t="str">
        <f t="shared" si="34"/>
        <v/>
      </c>
      <c r="J71" s="18" t="str">
        <f>IFERROR(IF(I71="","",VLOOKUP(I71,Normtijden_Config!$A$4:$S$55,7,FALSE())),"")</f>
        <v/>
      </c>
      <c r="K71" s="17" t="str">
        <f>IFERROR(IF(I71="","",VLOOKUP(I71,Normtijden_Config!$A$4:$S$55,8,FALSE())),"")</f>
        <v/>
      </c>
      <c r="L71" s="18" t="str">
        <f>IF(I71="","",IFERROR(  IF(VLOOKUP(I71,Normtijden_Config!$A$4:$S$55,9,FALSE())&lt;&gt;"",     VLOOKUP(I71,Normtijden_Config!$A$4:$S$55,9,FALSE()),     IFERROR(-INDEX(tbl_Offsets_Wd,MATCH(K71&amp;"|"&amp;D71&amp;"|"&amp;E71,tbl_Offsets_Key,0)),"")),""))</f>
        <v/>
      </c>
      <c r="M71" s="17" t="str">
        <f>IFERROR(IF(I71="","",VLOOKUP(I71,Normtijden_Config!$A$4:$S$55,10,FALSE())),"")</f>
        <v/>
      </c>
      <c r="N71" s="17" t="str">
        <f>IFERROR(IF(I71="","",VLOOKUP(I71,Normtijden_Config!$A$4:$S$55,11,FALSE())),"")</f>
        <v/>
      </c>
      <c r="O71" s="15"/>
      <c r="P71" s="15"/>
      <c r="Q71" s="39"/>
      <c r="R71" s="39"/>
      <c r="S71" s="38" t="str">
        <f t="shared" si="35"/>
        <v/>
      </c>
      <c r="T71" s="38" t="str">
        <f t="shared" si="36"/>
        <v/>
      </c>
      <c r="U71" s="38" t="str">
        <f t="shared" ca="1" si="37"/>
        <v/>
      </c>
      <c r="V71" s="38">
        <f t="shared" ca="1" si="38"/>
        <v>0</v>
      </c>
      <c r="W71" s="18" t="str">
        <f t="shared" ca="1" si="39"/>
        <v>n.v.t.</v>
      </c>
      <c r="X71" s="17" t="str">
        <f t="shared" ca="1" si="40"/>
        <v>ONBEKEND</v>
      </c>
      <c r="Y71" s="17" t="b">
        <f t="shared" ca="1" si="41"/>
        <v>0</v>
      </c>
      <c r="Z71" s="17" t="b">
        <f t="shared" si="42"/>
        <v>0</v>
      </c>
      <c r="AA71" s="17" t="b">
        <f t="shared" ca="1" si="43"/>
        <v>0</v>
      </c>
      <c r="AB71" s="20" t="str">
        <f t="shared" ca="1" si="44"/>
        <v/>
      </c>
      <c r="AC71" s="15"/>
      <c r="AD71" s="15"/>
      <c r="AE71" s="21"/>
      <c r="AF71" s="22"/>
    </row>
    <row r="72" spans="1:32" ht="15" customHeight="1" x14ac:dyDescent="0.3">
      <c r="A72" s="15"/>
      <c r="B72" s="17" t="str">
        <f t="shared" si="30"/>
        <v/>
      </c>
      <c r="C72" s="38" t="str">
        <f t="shared" si="31"/>
        <v/>
      </c>
      <c r="D72" s="17" t="str">
        <f t="shared" si="32"/>
        <v/>
      </c>
      <c r="E72" s="17" t="str">
        <f t="shared" si="33"/>
        <v/>
      </c>
      <c r="F72" s="15"/>
      <c r="G72" s="15"/>
      <c r="H72" s="15"/>
      <c r="I72" s="17" t="str">
        <f t="shared" si="34"/>
        <v/>
      </c>
      <c r="J72" s="18" t="str">
        <f>IFERROR(IF(I72="","",VLOOKUP(I72,Normtijden_Config!$A$4:$S$55,7,FALSE())),"")</f>
        <v/>
      </c>
      <c r="K72" s="17" t="str">
        <f>IFERROR(IF(I72="","",VLOOKUP(I72,Normtijden_Config!$A$4:$S$55,8,FALSE())),"")</f>
        <v/>
      </c>
      <c r="L72" s="18" t="str">
        <f>IF(I72="","",IFERROR(  IF(VLOOKUP(I72,Normtijden_Config!$A$4:$S$55,9,FALSE())&lt;&gt;"",     VLOOKUP(I72,Normtijden_Config!$A$4:$S$55,9,FALSE()),     IFERROR(-INDEX(tbl_Offsets_Wd,MATCH(K72&amp;"|"&amp;D72&amp;"|"&amp;E72,tbl_Offsets_Key,0)),"")),""))</f>
        <v/>
      </c>
      <c r="M72" s="17" t="str">
        <f>IFERROR(IF(I72="","",VLOOKUP(I72,Normtijden_Config!$A$4:$S$55,10,FALSE())),"")</f>
        <v/>
      </c>
      <c r="N72" s="17" t="str">
        <f>IFERROR(IF(I72="","",VLOOKUP(I72,Normtijden_Config!$A$4:$S$55,11,FALSE())),"")</f>
        <v/>
      </c>
      <c r="O72" s="15"/>
      <c r="P72" s="15"/>
      <c r="Q72" s="39"/>
      <c r="R72" s="39"/>
      <c r="S72" s="38" t="str">
        <f t="shared" si="35"/>
        <v/>
      </c>
      <c r="T72" s="38" t="str">
        <f t="shared" si="36"/>
        <v/>
      </c>
      <c r="U72" s="38" t="str">
        <f t="shared" ca="1" si="37"/>
        <v/>
      </c>
      <c r="V72" s="38">
        <f t="shared" ca="1" si="38"/>
        <v>0</v>
      </c>
      <c r="W72" s="18" t="str">
        <f t="shared" ca="1" si="39"/>
        <v>n.v.t.</v>
      </c>
      <c r="X72" s="17" t="str">
        <f t="shared" ca="1" si="40"/>
        <v>ONBEKEND</v>
      </c>
      <c r="Y72" s="17" t="b">
        <f t="shared" ca="1" si="41"/>
        <v>0</v>
      </c>
      <c r="Z72" s="17" t="b">
        <f t="shared" si="42"/>
        <v>0</v>
      </c>
      <c r="AA72" s="17" t="b">
        <f t="shared" ca="1" si="43"/>
        <v>0</v>
      </c>
      <c r="AB72" s="20" t="str">
        <f t="shared" ca="1" si="44"/>
        <v/>
      </c>
      <c r="AC72" s="15"/>
      <c r="AD72" s="15"/>
      <c r="AE72" s="21"/>
      <c r="AF72" s="22"/>
    </row>
    <row r="73" spans="1:32" ht="15" customHeight="1" x14ac:dyDescent="0.3">
      <c r="A73" s="15"/>
      <c r="B73" s="17" t="str">
        <f t="shared" si="30"/>
        <v/>
      </c>
      <c r="C73" s="38" t="str">
        <f t="shared" si="31"/>
        <v/>
      </c>
      <c r="D73" s="17" t="str">
        <f t="shared" si="32"/>
        <v/>
      </c>
      <c r="E73" s="17" t="str">
        <f t="shared" si="33"/>
        <v/>
      </c>
      <c r="F73" s="15"/>
      <c r="G73" s="15"/>
      <c r="H73" s="15"/>
      <c r="I73" s="17" t="str">
        <f t="shared" si="34"/>
        <v/>
      </c>
      <c r="J73" s="18" t="str">
        <f>IFERROR(IF(I73="","",VLOOKUP(I73,Normtijden_Config!$A$4:$S$55,7,FALSE())),"")</f>
        <v/>
      </c>
      <c r="K73" s="17" t="str">
        <f>IFERROR(IF(I73="","",VLOOKUP(I73,Normtijden_Config!$A$4:$S$55,8,FALSE())),"")</f>
        <v/>
      </c>
      <c r="L73" s="18" t="str">
        <f>IF(I73="","",IFERROR(  IF(VLOOKUP(I73,Normtijden_Config!$A$4:$S$55,9,FALSE())&lt;&gt;"",     VLOOKUP(I73,Normtijden_Config!$A$4:$S$55,9,FALSE()),     IFERROR(-INDEX(tbl_Offsets_Wd,MATCH(K73&amp;"|"&amp;D73&amp;"|"&amp;E73,tbl_Offsets_Key,0)),"")),""))</f>
        <v/>
      </c>
      <c r="M73" s="17" t="str">
        <f>IFERROR(IF(I73="","",VLOOKUP(I73,Normtijden_Config!$A$4:$S$55,10,FALSE())),"")</f>
        <v/>
      </c>
      <c r="N73" s="17" t="str">
        <f>IFERROR(IF(I73="","",VLOOKUP(I73,Normtijden_Config!$A$4:$S$55,11,FALSE())),"")</f>
        <v/>
      </c>
      <c r="O73" s="15"/>
      <c r="P73" s="15"/>
      <c r="Q73" s="39"/>
      <c r="R73" s="39"/>
      <c r="S73" s="38" t="str">
        <f t="shared" si="35"/>
        <v/>
      </c>
      <c r="T73" s="38" t="str">
        <f t="shared" si="36"/>
        <v/>
      </c>
      <c r="U73" s="38" t="str">
        <f t="shared" ca="1" si="37"/>
        <v/>
      </c>
      <c r="V73" s="38">
        <f t="shared" ca="1" si="38"/>
        <v>0</v>
      </c>
      <c r="W73" s="18" t="str">
        <f t="shared" ca="1" si="39"/>
        <v>n.v.t.</v>
      </c>
      <c r="X73" s="17" t="str">
        <f t="shared" ca="1" si="40"/>
        <v>ONBEKEND</v>
      </c>
      <c r="Y73" s="17" t="b">
        <f t="shared" ca="1" si="41"/>
        <v>0</v>
      </c>
      <c r="Z73" s="17" t="b">
        <f t="shared" si="42"/>
        <v>0</v>
      </c>
      <c r="AA73" s="17" t="b">
        <f t="shared" ca="1" si="43"/>
        <v>0</v>
      </c>
      <c r="AB73" s="20" t="str">
        <f t="shared" ca="1" si="44"/>
        <v/>
      </c>
      <c r="AC73" s="15"/>
      <c r="AD73" s="15"/>
      <c r="AE73" s="21"/>
      <c r="AF73" s="22"/>
    </row>
    <row r="74" spans="1:32" ht="15" customHeight="1" x14ac:dyDescent="0.3">
      <c r="A74" s="15"/>
      <c r="B74" s="17" t="str">
        <f t="shared" si="30"/>
        <v/>
      </c>
      <c r="C74" s="38" t="str">
        <f t="shared" si="31"/>
        <v/>
      </c>
      <c r="D74" s="17" t="str">
        <f t="shared" si="32"/>
        <v/>
      </c>
      <c r="E74" s="17" t="str">
        <f t="shared" si="33"/>
        <v/>
      </c>
      <c r="F74" s="15"/>
      <c r="G74" s="15"/>
      <c r="H74" s="15"/>
      <c r="I74" s="17" t="str">
        <f t="shared" si="34"/>
        <v/>
      </c>
      <c r="J74" s="18" t="str">
        <f>IFERROR(IF(I74="","",VLOOKUP(I74,Normtijden_Config!$A$4:$S$55,7,FALSE())),"")</f>
        <v/>
      </c>
      <c r="K74" s="17" t="str">
        <f>IFERROR(IF(I74="","",VLOOKUP(I74,Normtijden_Config!$A$4:$S$55,8,FALSE())),"")</f>
        <v/>
      </c>
      <c r="L74" s="18" t="str">
        <f>IF(I74="","",IFERROR(  IF(VLOOKUP(I74,Normtijden_Config!$A$4:$S$55,9,FALSE())&lt;&gt;"",     VLOOKUP(I74,Normtijden_Config!$A$4:$S$55,9,FALSE()),     IFERROR(-INDEX(tbl_Offsets_Wd,MATCH(K74&amp;"|"&amp;D74&amp;"|"&amp;E74,tbl_Offsets_Key,0)),"")),""))</f>
        <v/>
      </c>
      <c r="M74" s="17" t="str">
        <f>IFERROR(IF(I74="","",VLOOKUP(I74,Normtijden_Config!$A$4:$S$55,10,FALSE())),"")</f>
        <v/>
      </c>
      <c r="N74" s="17" t="str">
        <f>IFERROR(IF(I74="","",VLOOKUP(I74,Normtijden_Config!$A$4:$S$55,11,FALSE())),"")</f>
        <v/>
      </c>
      <c r="O74" s="15"/>
      <c r="P74" s="15"/>
      <c r="Q74" s="39"/>
      <c r="R74" s="39"/>
      <c r="S74" s="38" t="str">
        <f t="shared" si="35"/>
        <v/>
      </c>
      <c r="T74" s="38" t="str">
        <f t="shared" si="36"/>
        <v/>
      </c>
      <c r="U74" s="38" t="str">
        <f t="shared" ca="1" si="37"/>
        <v/>
      </c>
      <c r="V74" s="38">
        <f t="shared" ca="1" si="38"/>
        <v>0</v>
      </c>
      <c r="W74" s="18" t="str">
        <f t="shared" ca="1" si="39"/>
        <v>n.v.t.</v>
      </c>
      <c r="X74" s="17" t="str">
        <f t="shared" ca="1" si="40"/>
        <v>ONBEKEND</v>
      </c>
      <c r="Y74" s="17" t="b">
        <f t="shared" ca="1" si="41"/>
        <v>0</v>
      </c>
      <c r="Z74" s="17" t="b">
        <f t="shared" si="42"/>
        <v>0</v>
      </c>
      <c r="AA74" s="17" t="b">
        <f t="shared" ca="1" si="43"/>
        <v>0</v>
      </c>
      <c r="AB74" s="20" t="str">
        <f t="shared" ca="1" si="44"/>
        <v/>
      </c>
      <c r="AC74" s="15"/>
      <c r="AD74" s="15"/>
      <c r="AE74" s="21"/>
      <c r="AF74" s="22"/>
    </row>
    <row r="75" spans="1:32" ht="15" customHeight="1" x14ac:dyDescent="0.3">
      <c r="A75" s="15"/>
      <c r="B75" s="17" t="str">
        <f t="shared" si="30"/>
        <v/>
      </c>
      <c r="C75" s="38" t="str">
        <f t="shared" si="31"/>
        <v/>
      </c>
      <c r="D75" s="17" t="str">
        <f t="shared" si="32"/>
        <v/>
      </c>
      <c r="E75" s="17" t="str">
        <f t="shared" si="33"/>
        <v/>
      </c>
      <c r="F75" s="15"/>
      <c r="G75" s="15"/>
      <c r="H75" s="15"/>
      <c r="I75" s="17" t="str">
        <f t="shared" si="34"/>
        <v/>
      </c>
      <c r="J75" s="18" t="str">
        <f>IFERROR(IF(I75="","",VLOOKUP(I75,Normtijden_Config!$A$4:$S$55,7,FALSE())),"")</f>
        <v/>
      </c>
      <c r="K75" s="17" t="str">
        <f>IFERROR(IF(I75="","",VLOOKUP(I75,Normtijden_Config!$A$4:$S$55,8,FALSE())),"")</f>
        <v/>
      </c>
      <c r="L75" s="18" t="str">
        <f>IF(I75="","",IFERROR(  IF(VLOOKUP(I75,Normtijden_Config!$A$4:$S$55,9,FALSE())&lt;&gt;"",     VLOOKUP(I75,Normtijden_Config!$A$4:$S$55,9,FALSE()),     IFERROR(-INDEX(tbl_Offsets_Wd,MATCH(K75&amp;"|"&amp;D75&amp;"|"&amp;E75,tbl_Offsets_Key,0)),"")),""))</f>
        <v/>
      </c>
      <c r="M75" s="17" t="str">
        <f>IFERROR(IF(I75="","",VLOOKUP(I75,Normtijden_Config!$A$4:$S$55,10,FALSE())),"")</f>
        <v/>
      </c>
      <c r="N75" s="17" t="str">
        <f>IFERROR(IF(I75="","",VLOOKUP(I75,Normtijden_Config!$A$4:$S$55,11,FALSE())),"")</f>
        <v/>
      </c>
      <c r="O75" s="15"/>
      <c r="P75" s="15"/>
      <c r="Q75" s="39"/>
      <c r="R75" s="39"/>
      <c r="S75" s="38" t="str">
        <f t="shared" si="35"/>
        <v/>
      </c>
      <c r="T75" s="38" t="str">
        <f t="shared" si="36"/>
        <v/>
      </c>
      <c r="U75" s="38" t="str">
        <f t="shared" ca="1" si="37"/>
        <v/>
      </c>
      <c r="V75" s="38">
        <f t="shared" ca="1" si="38"/>
        <v>0</v>
      </c>
      <c r="W75" s="18" t="str">
        <f t="shared" ca="1" si="39"/>
        <v>n.v.t.</v>
      </c>
      <c r="X75" s="17" t="str">
        <f t="shared" ca="1" si="40"/>
        <v>ONBEKEND</v>
      </c>
      <c r="Y75" s="17" t="b">
        <f t="shared" ca="1" si="41"/>
        <v>0</v>
      </c>
      <c r="Z75" s="17" t="b">
        <f t="shared" si="42"/>
        <v>0</v>
      </c>
      <c r="AA75" s="17" t="b">
        <f t="shared" ca="1" si="43"/>
        <v>0</v>
      </c>
      <c r="AB75" s="20" t="str">
        <f t="shared" ca="1" si="44"/>
        <v/>
      </c>
      <c r="AC75" s="15"/>
      <c r="AD75" s="15"/>
      <c r="AE75" s="21"/>
      <c r="AF75" s="22"/>
    </row>
    <row r="76" spans="1:32" ht="15" customHeight="1" x14ac:dyDescent="0.3">
      <c r="A76" s="15"/>
      <c r="B76" s="17" t="str">
        <f t="shared" si="30"/>
        <v/>
      </c>
      <c r="C76" s="38" t="str">
        <f t="shared" si="31"/>
        <v/>
      </c>
      <c r="D76" s="17" t="str">
        <f t="shared" si="32"/>
        <v/>
      </c>
      <c r="E76" s="17" t="str">
        <f t="shared" si="33"/>
        <v/>
      </c>
      <c r="F76" s="15"/>
      <c r="G76" s="15"/>
      <c r="H76" s="15"/>
      <c r="I76" s="17" t="str">
        <f t="shared" si="34"/>
        <v/>
      </c>
      <c r="J76" s="18" t="str">
        <f>IFERROR(IF(I76="","",VLOOKUP(I76,Normtijden_Config!$A$4:$S$55,7,FALSE())),"")</f>
        <v/>
      </c>
      <c r="K76" s="17" t="str">
        <f>IFERROR(IF(I76="","",VLOOKUP(I76,Normtijden_Config!$A$4:$S$55,8,FALSE())),"")</f>
        <v/>
      </c>
      <c r="L76" s="18" t="str">
        <f>IF(I76="","",IFERROR(  IF(VLOOKUP(I76,Normtijden_Config!$A$4:$S$55,9,FALSE())&lt;&gt;"",     VLOOKUP(I76,Normtijden_Config!$A$4:$S$55,9,FALSE()),     IFERROR(-INDEX(tbl_Offsets_Wd,MATCH(K76&amp;"|"&amp;D76&amp;"|"&amp;E76,tbl_Offsets_Key,0)),"")),""))</f>
        <v/>
      </c>
      <c r="M76" s="17" t="str">
        <f>IFERROR(IF(I76="","",VLOOKUP(I76,Normtijden_Config!$A$4:$S$55,10,FALSE())),"")</f>
        <v/>
      </c>
      <c r="N76" s="17" t="str">
        <f>IFERROR(IF(I76="","",VLOOKUP(I76,Normtijden_Config!$A$4:$S$55,11,FALSE())),"")</f>
        <v/>
      </c>
      <c r="O76" s="15"/>
      <c r="P76" s="15"/>
      <c r="Q76" s="39"/>
      <c r="R76" s="39"/>
      <c r="S76" s="38" t="str">
        <f t="shared" si="35"/>
        <v/>
      </c>
      <c r="T76" s="38" t="str">
        <f t="shared" si="36"/>
        <v/>
      </c>
      <c r="U76" s="38" t="str">
        <f t="shared" ca="1" si="37"/>
        <v/>
      </c>
      <c r="V76" s="38">
        <f t="shared" ca="1" si="38"/>
        <v>0</v>
      </c>
      <c r="W76" s="18" t="str">
        <f t="shared" ca="1" si="39"/>
        <v>n.v.t.</v>
      </c>
      <c r="X76" s="17" t="str">
        <f t="shared" ca="1" si="40"/>
        <v>ONBEKEND</v>
      </c>
      <c r="Y76" s="17" t="b">
        <f t="shared" ca="1" si="41"/>
        <v>0</v>
      </c>
      <c r="Z76" s="17" t="b">
        <f t="shared" si="42"/>
        <v>0</v>
      </c>
      <c r="AA76" s="17" t="b">
        <f t="shared" ca="1" si="43"/>
        <v>0</v>
      </c>
      <c r="AB76" s="20" t="str">
        <f t="shared" ca="1" si="44"/>
        <v/>
      </c>
      <c r="AC76" s="15"/>
      <c r="AD76" s="15"/>
      <c r="AE76" s="21"/>
      <c r="AF76" s="22"/>
    </row>
    <row r="77" spans="1:32" ht="15" customHeight="1" x14ac:dyDescent="0.3">
      <c r="A77" s="15"/>
      <c r="B77" s="17" t="str">
        <f t="shared" si="30"/>
        <v/>
      </c>
      <c r="C77" s="38" t="str">
        <f t="shared" si="31"/>
        <v/>
      </c>
      <c r="D77" s="17" t="str">
        <f t="shared" si="32"/>
        <v/>
      </c>
      <c r="E77" s="17" t="str">
        <f t="shared" si="33"/>
        <v/>
      </c>
      <c r="F77" s="15"/>
      <c r="G77" s="15"/>
      <c r="H77" s="15"/>
      <c r="I77" s="17" t="str">
        <f t="shared" si="34"/>
        <v/>
      </c>
      <c r="J77" s="18" t="str">
        <f>IFERROR(IF(I77="","",VLOOKUP(I77,Normtijden_Config!$A$4:$S$55,7,FALSE())),"")</f>
        <v/>
      </c>
      <c r="K77" s="17" t="str">
        <f>IFERROR(IF(I77="","",VLOOKUP(I77,Normtijden_Config!$A$4:$S$55,8,FALSE())),"")</f>
        <v/>
      </c>
      <c r="L77" s="18" t="str">
        <f>IF(I77="","",IFERROR(  IF(VLOOKUP(I77,Normtijden_Config!$A$4:$S$55,9,FALSE())&lt;&gt;"",     VLOOKUP(I77,Normtijden_Config!$A$4:$S$55,9,FALSE()),     IFERROR(-INDEX(tbl_Offsets_Wd,MATCH(K77&amp;"|"&amp;D77&amp;"|"&amp;E77,tbl_Offsets_Key,0)),"")),""))</f>
        <v/>
      </c>
      <c r="M77" s="17" t="str">
        <f>IFERROR(IF(I77="","",VLOOKUP(I77,Normtijden_Config!$A$4:$S$55,10,FALSE())),"")</f>
        <v/>
      </c>
      <c r="N77" s="17" t="str">
        <f>IFERROR(IF(I77="","",VLOOKUP(I77,Normtijden_Config!$A$4:$S$55,11,FALSE())),"")</f>
        <v/>
      </c>
      <c r="O77" s="15"/>
      <c r="P77" s="15"/>
      <c r="Q77" s="39"/>
      <c r="R77" s="39"/>
      <c r="S77" s="38" t="str">
        <f t="shared" si="35"/>
        <v/>
      </c>
      <c r="T77" s="38" t="str">
        <f t="shared" si="36"/>
        <v/>
      </c>
      <c r="U77" s="38" t="str">
        <f t="shared" ca="1" si="37"/>
        <v/>
      </c>
      <c r="V77" s="38">
        <f t="shared" ca="1" si="38"/>
        <v>0</v>
      </c>
      <c r="W77" s="18" t="str">
        <f t="shared" ca="1" si="39"/>
        <v>n.v.t.</v>
      </c>
      <c r="X77" s="17" t="str">
        <f t="shared" ca="1" si="40"/>
        <v>ONBEKEND</v>
      </c>
      <c r="Y77" s="17" t="b">
        <f t="shared" ca="1" si="41"/>
        <v>0</v>
      </c>
      <c r="Z77" s="17" t="b">
        <f t="shared" si="42"/>
        <v>0</v>
      </c>
      <c r="AA77" s="17" t="b">
        <f t="shared" ca="1" si="43"/>
        <v>0</v>
      </c>
      <c r="AB77" s="20" t="str">
        <f t="shared" ca="1" si="44"/>
        <v/>
      </c>
      <c r="AC77" s="15"/>
      <c r="AD77" s="15"/>
      <c r="AE77" s="21"/>
      <c r="AF77" s="22"/>
    </row>
    <row r="78" spans="1:32" ht="15" customHeight="1" x14ac:dyDescent="0.3">
      <c r="A78" s="15"/>
      <c r="B78" s="17" t="str">
        <f t="shared" si="30"/>
        <v/>
      </c>
      <c r="C78" s="38" t="str">
        <f t="shared" si="31"/>
        <v/>
      </c>
      <c r="D78" s="17" t="str">
        <f t="shared" si="32"/>
        <v/>
      </c>
      <c r="E78" s="17" t="str">
        <f t="shared" si="33"/>
        <v/>
      </c>
      <c r="F78" s="15"/>
      <c r="G78" s="15"/>
      <c r="H78" s="15"/>
      <c r="I78" s="17" t="str">
        <f t="shared" si="34"/>
        <v/>
      </c>
      <c r="J78" s="18" t="str">
        <f>IFERROR(IF(I78="","",VLOOKUP(I78,Normtijden_Config!$A$4:$S$55,7,FALSE())),"")</f>
        <v/>
      </c>
      <c r="K78" s="17" t="str">
        <f>IFERROR(IF(I78="","",VLOOKUP(I78,Normtijden_Config!$A$4:$S$55,8,FALSE())),"")</f>
        <v/>
      </c>
      <c r="L78" s="18" t="str">
        <f>IF(I78="","",IFERROR(  IF(VLOOKUP(I78,Normtijden_Config!$A$4:$S$55,9,FALSE())&lt;&gt;"",     VLOOKUP(I78,Normtijden_Config!$A$4:$S$55,9,FALSE()),     IFERROR(-INDEX(tbl_Offsets_Wd,MATCH(K78&amp;"|"&amp;D78&amp;"|"&amp;E78,tbl_Offsets_Key,0)),"")),""))</f>
        <v/>
      </c>
      <c r="M78" s="17" t="str">
        <f>IFERROR(IF(I78="","",VLOOKUP(I78,Normtijden_Config!$A$4:$S$55,10,FALSE())),"")</f>
        <v/>
      </c>
      <c r="N78" s="17" t="str">
        <f>IFERROR(IF(I78="","",VLOOKUP(I78,Normtijden_Config!$A$4:$S$55,11,FALSE())),"")</f>
        <v/>
      </c>
      <c r="O78" s="15"/>
      <c r="P78" s="15"/>
      <c r="Q78" s="39"/>
      <c r="R78" s="39"/>
      <c r="S78" s="38" t="str">
        <f t="shared" si="35"/>
        <v/>
      </c>
      <c r="T78" s="38" t="str">
        <f t="shared" si="36"/>
        <v/>
      </c>
      <c r="U78" s="38" t="str">
        <f t="shared" ca="1" si="37"/>
        <v/>
      </c>
      <c r="V78" s="38">
        <f t="shared" ca="1" si="38"/>
        <v>0</v>
      </c>
      <c r="W78" s="18" t="str">
        <f t="shared" ca="1" si="39"/>
        <v>n.v.t.</v>
      </c>
      <c r="X78" s="17" t="str">
        <f t="shared" ca="1" si="40"/>
        <v>ONBEKEND</v>
      </c>
      <c r="Y78" s="17" t="b">
        <f t="shared" ca="1" si="41"/>
        <v>0</v>
      </c>
      <c r="Z78" s="17" t="b">
        <f t="shared" si="42"/>
        <v>0</v>
      </c>
      <c r="AA78" s="17" t="b">
        <f t="shared" ca="1" si="43"/>
        <v>0</v>
      </c>
      <c r="AB78" s="20" t="str">
        <f t="shared" ca="1" si="44"/>
        <v/>
      </c>
      <c r="AC78" s="15"/>
      <c r="AD78" s="15"/>
      <c r="AE78" s="21"/>
      <c r="AF78" s="22"/>
    </row>
    <row r="79" spans="1:32" ht="15" customHeight="1" x14ac:dyDescent="0.3">
      <c r="A79" s="15"/>
      <c r="B79" s="17" t="str">
        <f t="shared" si="30"/>
        <v/>
      </c>
      <c r="C79" s="38" t="str">
        <f t="shared" si="31"/>
        <v/>
      </c>
      <c r="D79" s="17" t="str">
        <f t="shared" si="32"/>
        <v/>
      </c>
      <c r="E79" s="17" t="str">
        <f t="shared" si="33"/>
        <v/>
      </c>
      <c r="F79" s="15"/>
      <c r="G79" s="15"/>
      <c r="H79" s="15"/>
      <c r="I79" s="17" t="str">
        <f t="shared" si="34"/>
        <v/>
      </c>
      <c r="J79" s="18" t="str">
        <f>IFERROR(IF(I79="","",VLOOKUP(I79,Normtijden_Config!$A$4:$S$55,7,FALSE())),"")</f>
        <v/>
      </c>
      <c r="K79" s="17" t="str">
        <f>IFERROR(IF(I79="","",VLOOKUP(I79,Normtijden_Config!$A$4:$S$55,8,FALSE())),"")</f>
        <v/>
      </c>
      <c r="L79" s="18" t="str">
        <f>IF(I79="","",IFERROR(  IF(VLOOKUP(I79,Normtijden_Config!$A$4:$S$55,9,FALSE())&lt;&gt;"",     VLOOKUP(I79,Normtijden_Config!$A$4:$S$55,9,FALSE()),     IFERROR(-INDEX(tbl_Offsets_Wd,MATCH(K79&amp;"|"&amp;D79&amp;"|"&amp;E79,tbl_Offsets_Key,0)),"")),""))</f>
        <v/>
      </c>
      <c r="M79" s="17" t="str">
        <f>IFERROR(IF(I79="","",VLOOKUP(I79,Normtijden_Config!$A$4:$S$55,10,FALSE())),"")</f>
        <v/>
      </c>
      <c r="N79" s="17" t="str">
        <f>IFERROR(IF(I79="","",VLOOKUP(I79,Normtijden_Config!$A$4:$S$55,11,FALSE())),"")</f>
        <v/>
      </c>
      <c r="O79" s="15"/>
      <c r="P79" s="15"/>
      <c r="Q79" s="39"/>
      <c r="R79" s="39"/>
      <c r="S79" s="38" t="str">
        <f t="shared" si="35"/>
        <v/>
      </c>
      <c r="T79" s="38" t="str">
        <f t="shared" si="36"/>
        <v/>
      </c>
      <c r="U79" s="38" t="str">
        <f t="shared" ca="1" si="37"/>
        <v/>
      </c>
      <c r="V79" s="38">
        <f t="shared" ca="1" si="38"/>
        <v>0</v>
      </c>
      <c r="W79" s="18" t="str">
        <f t="shared" ca="1" si="39"/>
        <v>n.v.t.</v>
      </c>
      <c r="X79" s="17" t="str">
        <f t="shared" ca="1" si="40"/>
        <v>ONBEKEND</v>
      </c>
      <c r="Y79" s="17" t="b">
        <f t="shared" ca="1" si="41"/>
        <v>0</v>
      </c>
      <c r="Z79" s="17" t="b">
        <f t="shared" si="42"/>
        <v>0</v>
      </c>
      <c r="AA79" s="17" t="b">
        <f t="shared" ca="1" si="43"/>
        <v>0</v>
      </c>
      <c r="AB79" s="20" t="str">
        <f t="shared" ca="1" si="44"/>
        <v/>
      </c>
      <c r="AC79" s="15"/>
      <c r="AD79" s="15"/>
      <c r="AE79" s="21"/>
      <c r="AF79" s="22"/>
    </row>
    <row r="80" spans="1:32" ht="15" customHeight="1" x14ac:dyDescent="0.3">
      <c r="A80" s="15"/>
      <c r="B80" s="17" t="str">
        <f t="shared" si="30"/>
        <v/>
      </c>
      <c r="C80" s="38" t="str">
        <f t="shared" si="31"/>
        <v/>
      </c>
      <c r="D80" s="17" t="str">
        <f t="shared" si="32"/>
        <v/>
      </c>
      <c r="E80" s="17" t="str">
        <f t="shared" si="33"/>
        <v/>
      </c>
      <c r="F80" s="15"/>
      <c r="G80" s="15"/>
      <c r="H80" s="15"/>
      <c r="I80" s="17" t="str">
        <f t="shared" si="34"/>
        <v/>
      </c>
      <c r="J80" s="18" t="str">
        <f>IFERROR(IF(I80="","",VLOOKUP(I80,Normtijden_Config!$A$4:$S$55,7,FALSE())),"")</f>
        <v/>
      </c>
      <c r="K80" s="17" t="str">
        <f>IFERROR(IF(I80="","",VLOOKUP(I80,Normtijden_Config!$A$4:$S$55,8,FALSE())),"")</f>
        <v/>
      </c>
      <c r="L80" s="18" t="str">
        <f>IF(I80="","",IFERROR(  IF(VLOOKUP(I80,Normtijden_Config!$A$4:$S$55,9,FALSE())&lt;&gt;"",     VLOOKUP(I80,Normtijden_Config!$A$4:$S$55,9,FALSE()),     IFERROR(-INDEX(tbl_Offsets_Wd,MATCH(K80&amp;"|"&amp;D80&amp;"|"&amp;E80,tbl_Offsets_Key,0)),"")),""))</f>
        <v/>
      </c>
      <c r="M80" s="17" t="str">
        <f>IFERROR(IF(I80="","",VLOOKUP(I80,Normtijden_Config!$A$4:$S$55,10,FALSE())),"")</f>
        <v/>
      </c>
      <c r="N80" s="17" t="str">
        <f>IFERROR(IF(I80="","",VLOOKUP(I80,Normtijden_Config!$A$4:$S$55,11,FALSE())),"")</f>
        <v/>
      </c>
      <c r="O80" s="15"/>
      <c r="P80" s="15"/>
      <c r="Q80" s="39"/>
      <c r="R80" s="39"/>
      <c r="S80" s="38" t="str">
        <f t="shared" si="35"/>
        <v/>
      </c>
      <c r="T80" s="38" t="str">
        <f t="shared" si="36"/>
        <v/>
      </c>
      <c r="U80" s="38" t="str">
        <f t="shared" ca="1" si="37"/>
        <v/>
      </c>
      <c r="V80" s="38">
        <f t="shared" ca="1" si="38"/>
        <v>0</v>
      </c>
      <c r="W80" s="18" t="str">
        <f t="shared" ca="1" si="39"/>
        <v>n.v.t.</v>
      </c>
      <c r="X80" s="17" t="str">
        <f t="shared" ca="1" si="40"/>
        <v>ONBEKEND</v>
      </c>
      <c r="Y80" s="17" t="b">
        <f t="shared" ca="1" si="41"/>
        <v>0</v>
      </c>
      <c r="Z80" s="17" t="b">
        <f t="shared" si="42"/>
        <v>0</v>
      </c>
      <c r="AA80" s="17" t="b">
        <f t="shared" ca="1" si="43"/>
        <v>0</v>
      </c>
      <c r="AB80" s="20" t="str">
        <f t="shared" ca="1" si="44"/>
        <v/>
      </c>
      <c r="AC80" s="15"/>
      <c r="AD80" s="15"/>
      <c r="AE80" s="21"/>
      <c r="AF80" s="22"/>
    </row>
    <row r="81" spans="1:32" ht="15" customHeight="1" x14ac:dyDescent="0.3">
      <c r="A81" s="15"/>
      <c r="B81" s="17" t="str">
        <f t="shared" si="30"/>
        <v/>
      </c>
      <c r="C81" s="38" t="str">
        <f t="shared" si="31"/>
        <v/>
      </c>
      <c r="D81" s="17" t="str">
        <f t="shared" si="32"/>
        <v/>
      </c>
      <c r="E81" s="17" t="str">
        <f t="shared" si="33"/>
        <v/>
      </c>
      <c r="F81" s="15"/>
      <c r="G81" s="15"/>
      <c r="H81" s="15"/>
      <c r="I81" s="17" t="str">
        <f t="shared" si="34"/>
        <v/>
      </c>
      <c r="J81" s="18" t="str">
        <f>IFERROR(IF(I81="","",VLOOKUP(I81,Normtijden_Config!$A$4:$S$55,7,FALSE())),"")</f>
        <v/>
      </c>
      <c r="K81" s="17" t="str">
        <f>IFERROR(IF(I81="","",VLOOKUP(I81,Normtijden_Config!$A$4:$S$55,8,FALSE())),"")</f>
        <v/>
      </c>
      <c r="L81" s="18" t="str">
        <f>IF(I81="","",IFERROR(  IF(VLOOKUP(I81,Normtijden_Config!$A$4:$S$55,9,FALSE())&lt;&gt;"",     VLOOKUP(I81,Normtijden_Config!$A$4:$S$55,9,FALSE()),     IFERROR(-INDEX(tbl_Offsets_Wd,MATCH(K81&amp;"|"&amp;D81&amp;"|"&amp;E81,tbl_Offsets_Key,0)),"")),""))</f>
        <v/>
      </c>
      <c r="M81" s="17" t="str">
        <f>IFERROR(IF(I81="","",VLOOKUP(I81,Normtijden_Config!$A$4:$S$55,10,FALSE())),"")</f>
        <v/>
      </c>
      <c r="N81" s="17" t="str">
        <f>IFERROR(IF(I81="","",VLOOKUP(I81,Normtijden_Config!$A$4:$S$55,11,FALSE())),"")</f>
        <v/>
      </c>
      <c r="O81" s="15"/>
      <c r="P81" s="15"/>
      <c r="Q81" s="39"/>
      <c r="R81" s="39"/>
      <c r="S81" s="38" t="str">
        <f t="shared" si="35"/>
        <v/>
      </c>
      <c r="T81" s="38" t="str">
        <f t="shared" si="36"/>
        <v/>
      </c>
      <c r="U81" s="38" t="str">
        <f t="shared" ca="1" si="37"/>
        <v/>
      </c>
      <c r="V81" s="38">
        <f t="shared" ca="1" si="38"/>
        <v>0</v>
      </c>
      <c r="W81" s="18" t="str">
        <f t="shared" ca="1" si="39"/>
        <v>n.v.t.</v>
      </c>
      <c r="X81" s="17" t="str">
        <f t="shared" ca="1" si="40"/>
        <v>ONBEKEND</v>
      </c>
      <c r="Y81" s="17" t="b">
        <f t="shared" ca="1" si="41"/>
        <v>0</v>
      </c>
      <c r="Z81" s="17" t="b">
        <f t="shared" si="42"/>
        <v>0</v>
      </c>
      <c r="AA81" s="17" t="b">
        <f t="shared" ca="1" si="43"/>
        <v>0</v>
      </c>
      <c r="AB81" s="20" t="str">
        <f t="shared" ca="1" si="44"/>
        <v/>
      </c>
      <c r="AC81" s="15"/>
      <c r="AD81" s="15"/>
      <c r="AE81" s="21"/>
      <c r="AF81" s="22"/>
    </row>
    <row r="82" spans="1:32" ht="15" customHeight="1" x14ac:dyDescent="0.3">
      <c r="A82" s="15"/>
      <c r="B82" s="17" t="str">
        <f t="shared" si="30"/>
        <v/>
      </c>
      <c r="C82" s="38" t="str">
        <f t="shared" si="31"/>
        <v/>
      </c>
      <c r="D82" s="17" t="str">
        <f t="shared" si="32"/>
        <v/>
      </c>
      <c r="E82" s="17" t="str">
        <f t="shared" si="33"/>
        <v/>
      </c>
      <c r="F82" s="15"/>
      <c r="G82" s="15"/>
      <c r="H82" s="15"/>
      <c r="I82" s="17" t="str">
        <f t="shared" si="34"/>
        <v/>
      </c>
      <c r="J82" s="18" t="str">
        <f>IFERROR(IF(I82="","",VLOOKUP(I82,Normtijden_Config!$A$4:$S$55,7,FALSE())),"")</f>
        <v/>
      </c>
      <c r="K82" s="17" t="str">
        <f>IFERROR(IF(I82="","",VLOOKUP(I82,Normtijden_Config!$A$4:$S$55,8,FALSE())),"")</f>
        <v/>
      </c>
      <c r="L82" s="18" t="str">
        <f>IF(I82="","",IFERROR(  IF(VLOOKUP(I82,Normtijden_Config!$A$4:$S$55,9,FALSE())&lt;&gt;"",     VLOOKUP(I82,Normtijden_Config!$A$4:$S$55,9,FALSE()),     IFERROR(-INDEX(tbl_Offsets_Wd,MATCH(K82&amp;"|"&amp;D82&amp;"|"&amp;E82,tbl_Offsets_Key,0)),"")),""))</f>
        <v/>
      </c>
      <c r="M82" s="17" t="str">
        <f>IFERROR(IF(I82="","",VLOOKUP(I82,Normtijden_Config!$A$4:$S$55,10,FALSE())),"")</f>
        <v/>
      </c>
      <c r="N82" s="17" t="str">
        <f>IFERROR(IF(I82="","",VLOOKUP(I82,Normtijden_Config!$A$4:$S$55,11,FALSE())),"")</f>
        <v/>
      </c>
      <c r="O82" s="15"/>
      <c r="P82" s="15"/>
      <c r="Q82" s="39"/>
      <c r="R82" s="39"/>
      <c r="S82" s="38" t="str">
        <f t="shared" si="35"/>
        <v/>
      </c>
      <c r="T82" s="38" t="str">
        <f t="shared" si="36"/>
        <v/>
      </c>
      <c r="U82" s="38" t="str">
        <f t="shared" ca="1" si="37"/>
        <v/>
      </c>
      <c r="V82" s="38">
        <f t="shared" ca="1" si="38"/>
        <v>0</v>
      </c>
      <c r="W82" s="18" t="str">
        <f t="shared" ca="1" si="39"/>
        <v>n.v.t.</v>
      </c>
      <c r="X82" s="17" t="str">
        <f t="shared" ca="1" si="40"/>
        <v>ONBEKEND</v>
      </c>
      <c r="Y82" s="17" t="b">
        <f t="shared" ca="1" si="41"/>
        <v>0</v>
      </c>
      <c r="Z82" s="17" t="b">
        <f t="shared" si="42"/>
        <v>0</v>
      </c>
      <c r="AA82" s="17" t="b">
        <f t="shared" ca="1" si="43"/>
        <v>0</v>
      </c>
      <c r="AB82" s="20" t="str">
        <f t="shared" ca="1" si="44"/>
        <v/>
      </c>
      <c r="AC82" s="15"/>
      <c r="AD82" s="15"/>
      <c r="AE82" s="21"/>
      <c r="AF82" s="22"/>
    </row>
    <row r="83" spans="1:32" ht="15" customHeight="1" x14ac:dyDescent="0.3">
      <c r="A83" s="15"/>
      <c r="B83" s="17" t="str">
        <f t="shared" si="30"/>
        <v/>
      </c>
      <c r="C83" s="38" t="str">
        <f t="shared" si="31"/>
        <v/>
      </c>
      <c r="D83" s="17" t="str">
        <f t="shared" si="32"/>
        <v/>
      </c>
      <c r="E83" s="17" t="str">
        <f t="shared" si="33"/>
        <v/>
      </c>
      <c r="F83" s="15"/>
      <c r="G83" s="15"/>
      <c r="H83" s="15"/>
      <c r="I83" s="17" t="str">
        <f t="shared" si="34"/>
        <v/>
      </c>
      <c r="J83" s="18" t="str">
        <f>IFERROR(IF(I83="","",VLOOKUP(I83,Normtijden_Config!$A$4:$S$55,7,FALSE())),"")</f>
        <v/>
      </c>
      <c r="K83" s="17" t="str">
        <f>IFERROR(IF(I83="","",VLOOKUP(I83,Normtijden_Config!$A$4:$S$55,8,FALSE())),"")</f>
        <v/>
      </c>
      <c r="L83" s="18" t="str">
        <f>IF(I83="","",IFERROR(  IF(VLOOKUP(I83,Normtijden_Config!$A$4:$S$55,9,FALSE())&lt;&gt;"",     VLOOKUP(I83,Normtijden_Config!$A$4:$S$55,9,FALSE()),     IFERROR(-INDEX(tbl_Offsets_Wd,MATCH(K83&amp;"|"&amp;D83&amp;"|"&amp;E83,tbl_Offsets_Key,0)),"")),""))</f>
        <v/>
      </c>
      <c r="M83" s="17" t="str">
        <f>IFERROR(IF(I83="","",VLOOKUP(I83,Normtijden_Config!$A$4:$S$55,10,FALSE())),"")</f>
        <v/>
      </c>
      <c r="N83" s="17" t="str">
        <f>IFERROR(IF(I83="","",VLOOKUP(I83,Normtijden_Config!$A$4:$S$55,11,FALSE())),"")</f>
        <v/>
      </c>
      <c r="O83" s="15"/>
      <c r="P83" s="15"/>
      <c r="Q83" s="39"/>
      <c r="R83" s="39"/>
      <c r="S83" s="38" t="str">
        <f t="shared" si="35"/>
        <v/>
      </c>
      <c r="T83" s="38" t="str">
        <f t="shared" si="36"/>
        <v/>
      </c>
      <c r="U83" s="38" t="str">
        <f t="shared" ca="1" si="37"/>
        <v/>
      </c>
      <c r="V83" s="38">
        <f t="shared" ca="1" si="38"/>
        <v>0</v>
      </c>
      <c r="W83" s="18" t="str">
        <f t="shared" ca="1" si="39"/>
        <v>n.v.t.</v>
      </c>
      <c r="X83" s="17" t="str">
        <f t="shared" ca="1" si="40"/>
        <v>ONBEKEND</v>
      </c>
      <c r="Y83" s="17" t="b">
        <f t="shared" ca="1" si="41"/>
        <v>0</v>
      </c>
      <c r="Z83" s="17" t="b">
        <f t="shared" si="42"/>
        <v>0</v>
      </c>
      <c r="AA83" s="17" t="b">
        <f t="shared" ca="1" si="43"/>
        <v>0</v>
      </c>
      <c r="AB83" s="20" t="str">
        <f t="shared" ca="1" si="44"/>
        <v/>
      </c>
      <c r="AC83" s="15"/>
      <c r="AD83" s="15"/>
      <c r="AE83" s="21"/>
      <c r="AF83" s="22"/>
    </row>
    <row r="84" spans="1:32" ht="15" customHeight="1" x14ac:dyDescent="0.3">
      <c r="A84" s="15"/>
      <c r="B84" s="17" t="str">
        <f t="shared" si="30"/>
        <v/>
      </c>
      <c r="C84" s="38" t="str">
        <f t="shared" si="31"/>
        <v/>
      </c>
      <c r="D84" s="17" t="str">
        <f t="shared" si="32"/>
        <v/>
      </c>
      <c r="E84" s="17" t="str">
        <f t="shared" si="33"/>
        <v/>
      </c>
      <c r="F84" s="15"/>
      <c r="G84" s="15"/>
      <c r="H84" s="15"/>
      <c r="I84" s="17" t="str">
        <f t="shared" si="34"/>
        <v/>
      </c>
      <c r="J84" s="18" t="str">
        <f>IFERROR(IF(I84="","",VLOOKUP(I84,Normtijden_Config!$A$4:$S$55,7,FALSE())),"")</f>
        <v/>
      </c>
      <c r="K84" s="17" t="str">
        <f>IFERROR(IF(I84="","",VLOOKUP(I84,Normtijden_Config!$A$4:$S$55,8,FALSE())),"")</f>
        <v/>
      </c>
      <c r="L84" s="18" t="str">
        <f>IF(I84="","",IFERROR(  IF(VLOOKUP(I84,Normtijden_Config!$A$4:$S$55,9,FALSE())&lt;&gt;"",     VLOOKUP(I84,Normtijden_Config!$A$4:$S$55,9,FALSE()),     IFERROR(-INDEX(tbl_Offsets_Wd,MATCH(K84&amp;"|"&amp;D84&amp;"|"&amp;E84,tbl_Offsets_Key,0)),"")),""))</f>
        <v/>
      </c>
      <c r="M84" s="17" t="str">
        <f>IFERROR(IF(I84="","",VLOOKUP(I84,Normtijden_Config!$A$4:$S$55,10,FALSE())),"")</f>
        <v/>
      </c>
      <c r="N84" s="17" t="str">
        <f>IFERROR(IF(I84="","",VLOOKUP(I84,Normtijden_Config!$A$4:$S$55,11,FALSE())),"")</f>
        <v/>
      </c>
      <c r="O84" s="15"/>
      <c r="P84" s="15"/>
      <c r="Q84" s="39"/>
      <c r="R84" s="39"/>
      <c r="S84" s="38" t="str">
        <f t="shared" si="35"/>
        <v/>
      </c>
      <c r="T84" s="38" t="str">
        <f t="shared" si="36"/>
        <v/>
      </c>
      <c r="U84" s="38" t="str">
        <f t="shared" ca="1" si="37"/>
        <v/>
      </c>
      <c r="V84" s="38">
        <f t="shared" ca="1" si="38"/>
        <v>0</v>
      </c>
      <c r="W84" s="18" t="str">
        <f t="shared" ca="1" si="39"/>
        <v>n.v.t.</v>
      </c>
      <c r="X84" s="17" t="str">
        <f t="shared" ca="1" si="40"/>
        <v>ONBEKEND</v>
      </c>
      <c r="Y84" s="17" t="b">
        <f t="shared" ca="1" si="41"/>
        <v>0</v>
      </c>
      <c r="Z84" s="17" t="b">
        <f t="shared" si="42"/>
        <v>0</v>
      </c>
      <c r="AA84" s="17" t="b">
        <f t="shared" ca="1" si="43"/>
        <v>0</v>
      </c>
      <c r="AB84" s="20" t="str">
        <f t="shared" ca="1" si="44"/>
        <v/>
      </c>
      <c r="AC84" s="15"/>
      <c r="AD84" s="15"/>
      <c r="AE84" s="21"/>
      <c r="AF84" s="22"/>
    </row>
    <row r="85" spans="1:32" ht="15" customHeight="1" x14ac:dyDescent="0.3">
      <c r="A85" s="15"/>
      <c r="B85" s="17" t="str">
        <f t="shared" si="30"/>
        <v/>
      </c>
      <c r="C85" s="38" t="str">
        <f t="shared" si="31"/>
        <v/>
      </c>
      <c r="D85" s="17" t="str">
        <f t="shared" si="32"/>
        <v/>
      </c>
      <c r="E85" s="17" t="str">
        <f t="shared" si="33"/>
        <v/>
      </c>
      <c r="F85" s="15"/>
      <c r="G85" s="15"/>
      <c r="H85" s="15"/>
      <c r="I85" s="17" t="str">
        <f t="shared" si="34"/>
        <v/>
      </c>
      <c r="J85" s="18" t="str">
        <f>IFERROR(IF(I85="","",VLOOKUP(I85,Normtijden_Config!$A$4:$S$55,7,FALSE())),"")</f>
        <v/>
      </c>
      <c r="K85" s="17" t="str">
        <f>IFERROR(IF(I85="","",VLOOKUP(I85,Normtijden_Config!$A$4:$S$55,8,FALSE())),"")</f>
        <v/>
      </c>
      <c r="L85" s="18" t="str">
        <f>IF(I85="","",IFERROR(  IF(VLOOKUP(I85,Normtijden_Config!$A$4:$S$55,9,FALSE())&lt;&gt;"",     VLOOKUP(I85,Normtijden_Config!$A$4:$S$55,9,FALSE()),     IFERROR(-INDEX(tbl_Offsets_Wd,MATCH(K85&amp;"|"&amp;D85&amp;"|"&amp;E85,tbl_Offsets_Key,0)),"")),""))</f>
        <v/>
      </c>
      <c r="M85" s="17" t="str">
        <f>IFERROR(IF(I85="","",VLOOKUP(I85,Normtijden_Config!$A$4:$S$55,10,FALSE())),"")</f>
        <v/>
      </c>
      <c r="N85" s="17" t="str">
        <f>IFERROR(IF(I85="","",VLOOKUP(I85,Normtijden_Config!$A$4:$S$55,11,FALSE())),"")</f>
        <v/>
      </c>
      <c r="O85" s="15"/>
      <c r="P85" s="15"/>
      <c r="Q85" s="39"/>
      <c r="R85" s="39"/>
      <c r="S85" s="38" t="str">
        <f t="shared" si="35"/>
        <v/>
      </c>
      <c r="T85" s="38" t="str">
        <f t="shared" si="36"/>
        <v/>
      </c>
      <c r="U85" s="38" t="str">
        <f t="shared" ca="1" si="37"/>
        <v/>
      </c>
      <c r="V85" s="38">
        <f t="shared" ca="1" si="38"/>
        <v>0</v>
      </c>
      <c r="W85" s="18" t="str">
        <f t="shared" ca="1" si="39"/>
        <v>n.v.t.</v>
      </c>
      <c r="X85" s="17" t="str">
        <f t="shared" ca="1" si="40"/>
        <v>ONBEKEND</v>
      </c>
      <c r="Y85" s="17" t="b">
        <f t="shared" ca="1" si="41"/>
        <v>0</v>
      </c>
      <c r="Z85" s="17" t="b">
        <f t="shared" si="42"/>
        <v>0</v>
      </c>
      <c r="AA85" s="17" t="b">
        <f t="shared" ca="1" si="43"/>
        <v>0</v>
      </c>
      <c r="AB85" s="20" t="str">
        <f t="shared" ca="1" si="44"/>
        <v/>
      </c>
      <c r="AC85" s="15"/>
      <c r="AD85" s="15"/>
      <c r="AE85" s="21"/>
      <c r="AF85" s="22"/>
    </row>
    <row r="86" spans="1:32" ht="15" customHeight="1" x14ac:dyDescent="0.3">
      <c r="A86" s="15"/>
      <c r="B86" s="17" t="str">
        <f t="shared" si="30"/>
        <v/>
      </c>
      <c r="C86" s="38" t="str">
        <f t="shared" si="31"/>
        <v/>
      </c>
      <c r="D86" s="17" t="str">
        <f t="shared" si="32"/>
        <v/>
      </c>
      <c r="E86" s="17" t="str">
        <f t="shared" si="33"/>
        <v/>
      </c>
      <c r="F86" s="15"/>
      <c r="G86" s="15"/>
      <c r="H86" s="15"/>
      <c r="I86" s="17" t="str">
        <f t="shared" si="34"/>
        <v/>
      </c>
      <c r="J86" s="18" t="str">
        <f>IFERROR(IF(I86="","",VLOOKUP(I86,Normtijden_Config!$A$4:$S$55,7,FALSE())),"")</f>
        <v/>
      </c>
      <c r="K86" s="17" t="str">
        <f>IFERROR(IF(I86="","",VLOOKUP(I86,Normtijden_Config!$A$4:$S$55,8,FALSE())),"")</f>
        <v/>
      </c>
      <c r="L86" s="18" t="str">
        <f>IF(I86="","",IFERROR(  IF(VLOOKUP(I86,Normtijden_Config!$A$4:$S$55,9,FALSE())&lt;&gt;"",     VLOOKUP(I86,Normtijden_Config!$A$4:$S$55,9,FALSE()),     IFERROR(-INDEX(tbl_Offsets_Wd,MATCH(K86&amp;"|"&amp;D86&amp;"|"&amp;E86,tbl_Offsets_Key,0)),"")),""))</f>
        <v/>
      </c>
      <c r="M86" s="17" t="str">
        <f>IFERROR(IF(I86="","",VLOOKUP(I86,Normtijden_Config!$A$4:$S$55,10,FALSE())),"")</f>
        <v/>
      </c>
      <c r="N86" s="17" t="str">
        <f>IFERROR(IF(I86="","",VLOOKUP(I86,Normtijden_Config!$A$4:$S$55,11,FALSE())),"")</f>
        <v/>
      </c>
      <c r="O86" s="15"/>
      <c r="P86" s="15"/>
      <c r="Q86" s="39"/>
      <c r="R86" s="39"/>
      <c r="S86" s="38" t="str">
        <f t="shared" si="35"/>
        <v/>
      </c>
      <c r="T86" s="38" t="str">
        <f t="shared" si="36"/>
        <v/>
      </c>
      <c r="U86" s="38" t="str">
        <f t="shared" ca="1" si="37"/>
        <v/>
      </c>
      <c r="V86" s="38">
        <f t="shared" ca="1" si="38"/>
        <v>0</v>
      </c>
      <c r="W86" s="18" t="str">
        <f t="shared" ca="1" si="39"/>
        <v>n.v.t.</v>
      </c>
      <c r="X86" s="17" t="str">
        <f t="shared" ca="1" si="40"/>
        <v>ONBEKEND</v>
      </c>
      <c r="Y86" s="17" t="b">
        <f t="shared" ca="1" si="41"/>
        <v>0</v>
      </c>
      <c r="Z86" s="17" t="b">
        <f t="shared" si="42"/>
        <v>0</v>
      </c>
      <c r="AA86" s="17" t="b">
        <f t="shared" ca="1" si="43"/>
        <v>0</v>
      </c>
      <c r="AB86" s="20" t="str">
        <f t="shared" ca="1" si="44"/>
        <v/>
      </c>
      <c r="AC86" s="15"/>
      <c r="AD86" s="15"/>
      <c r="AE86" s="21"/>
      <c r="AF86" s="22"/>
    </row>
    <row r="87" spans="1:32" ht="15" customHeight="1" x14ac:dyDescent="0.3">
      <c r="A87" s="15"/>
      <c r="B87" s="17" t="str">
        <f t="shared" si="30"/>
        <v/>
      </c>
      <c r="C87" s="38" t="str">
        <f t="shared" si="31"/>
        <v/>
      </c>
      <c r="D87" s="17" t="str">
        <f t="shared" si="32"/>
        <v/>
      </c>
      <c r="E87" s="17" t="str">
        <f t="shared" si="33"/>
        <v/>
      </c>
      <c r="F87" s="15"/>
      <c r="G87" s="15"/>
      <c r="H87" s="15"/>
      <c r="I87" s="17" t="str">
        <f t="shared" si="34"/>
        <v/>
      </c>
      <c r="J87" s="18" t="str">
        <f>IFERROR(IF(I87="","",VLOOKUP(I87,Normtijden_Config!$A$4:$S$55,7,FALSE())),"")</f>
        <v/>
      </c>
      <c r="K87" s="17" t="str">
        <f>IFERROR(IF(I87="","",VLOOKUP(I87,Normtijden_Config!$A$4:$S$55,8,FALSE())),"")</f>
        <v/>
      </c>
      <c r="L87" s="18" t="str">
        <f>IF(I87="","",IFERROR(  IF(VLOOKUP(I87,Normtijden_Config!$A$4:$S$55,9,FALSE())&lt;&gt;"",     VLOOKUP(I87,Normtijden_Config!$A$4:$S$55,9,FALSE()),     IFERROR(-INDEX(tbl_Offsets_Wd,MATCH(K87&amp;"|"&amp;D87&amp;"|"&amp;E87,tbl_Offsets_Key,0)),"")),""))</f>
        <v/>
      </c>
      <c r="M87" s="17" t="str">
        <f>IFERROR(IF(I87="","",VLOOKUP(I87,Normtijden_Config!$A$4:$S$55,10,FALSE())),"")</f>
        <v/>
      </c>
      <c r="N87" s="17" t="str">
        <f>IFERROR(IF(I87="","",VLOOKUP(I87,Normtijden_Config!$A$4:$S$55,11,FALSE())),"")</f>
        <v/>
      </c>
      <c r="O87" s="15"/>
      <c r="P87" s="15"/>
      <c r="Q87" s="39"/>
      <c r="R87" s="39"/>
      <c r="S87" s="38" t="str">
        <f t="shared" si="35"/>
        <v/>
      </c>
      <c r="T87" s="38" t="str">
        <f t="shared" si="36"/>
        <v/>
      </c>
      <c r="U87" s="38" t="str">
        <f t="shared" ca="1" si="37"/>
        <v/>
      </c>
      <c r="V87" s="38">
        <f t="shared" ca="1" si="38"/>
        <v>0</v>
      </c>
      <c r="W87" s="18" t="str">
        <f t="shared" ca="1" si="39"/>
        <v>n.v.t.</v>
      </c>
      <c r="X87" s="17" t="str">
        <f t="shared" ca="1" si="40"/>
        <v>ONBEKEND</v>
      </c>
      <c r="Y87" s="17" t="b">
        <f t="shared" ca="1" si="41"/>
        <v>0</v>
      </c>
      <c r="Z87" s="17" t="b">
        <f t="shared" si="42"/>
        <v>0</v>
      </c>
      <c r="AA87" s="17" t="b">
        <f t="shared" ca="1" si="43"/>
        <v>0</v>
      </c>
      <c r="AB87" s="20" t="str">
        <f t="shared" ca="1" si="44"/>
        <v/>
      </c>
      <c r="AC87" s="15"/>
      <c r="AD87" s="15"/>
      <c r="AE87" s="21"/>
      <c r="AF87" s="22"/>
    </row>
    <row r="88" spans="1:32" ht="15" customHeight="1" x14ac:dyDescent="0.3">
      <c r="A88" s="15"/>
      <c r="B88" s="17" t="str">
        <f t="shared" si="30"/>
        <v/>
      </c>
      <c r="C88" s="38" t="str">
        <f t="shared" si="31"/>
        <v/>
      </c>
      <c r="D88" s="17" t="str">
        <f t="shared" si="32"/>
        <v/>
      </c>
      <c r="E88" s="17" t="str">
        <f t="shared" si="33"/>
        <v/>
      </c>
      <c r="F88" s="15"/>
      <c r="G88" s="15"/>
      <c r="H88" s="15"/>
      <c r="I88" s="17" t="str">
        <f t="shared" si="34"/>
        <v/>
      </c>
      <c r="J88" s="18" t="str">
        <f>IFERROR(IF(I88="","",VLOOKUP(I88,Normtijden_Config!$A$4:$S$55,7,FALSE())),"")</f>
        <v/>
      </c>
      <c r="K88" s="17" t="str">
        <f>IFERROR(IF(I88="","",VLOOKUP(I88,Normtijden_Config!$A$4:$S$55,8,FALSE())),"")</f>
        <v/>
      </c>
      <c r="L88" s="18" t="str">
        <f>IF(I88="","",IFERROR(  IF(VLOOKUP(I88,Normtijden_Config!$A$4:$S$55,9,FALSE())&lt;&gt;"",     VLOOKUP(I88,Normtijden_Config!$A$4:$S$55,9,FALSE()),     IFERROR(-INDEX(tbl_Offsets_Wd,MATCH(K88&amp;"|"&amp;D88&amp;"|"&amp;E88,tbl_Offsets_Key,0)),"")),""))</f>
        <v/>
      </c>
      <c r="M88" s="17" t="str">
        <f>IFERROR(IF(I88="","",VLOOKUP(I88,Normtijden_Config!$A$4:$S$55,10,FALSE())),"")</f>
        <v/>
      </c>
      <c r="N88" s="17" t="str">
        <f>IFERROR(IF(I88="","",VLOOKUP(I88,Normtijden_Config!$A$4:$S$55,11,FALSE())),"")</f>
        <v/>
      </c>
      <c r="O88" s="15"/>
      <c r="P88" s="15"/>
      <c r="Q88" s="39"/>
      <c r="R88" s="39"/>
      <c r="S88" s="38" t="str">
        <f t="shared" si="35"/>
        <v/>
      </c>
      <c r="T88" s="38" t="str">
        <f t="shared" si="36"/>
        <v/>
      </c>
      <c r="U88" s="38" t="str">
        <f t="shared" ca="1" si="37"/>
        <v/>
      </c>
      <c r="V88" s="38">
        <f t="shared" ca="1" si="38"/>
        <v>0</v>
      </c>
      <c r="W88" s="18" t="str">
        <f t="shared" ca="1" si="39"/>
        <v>n.v.t.</v>
      </c>
      <c r="X88" s="17" t="str">
        <f t="shared" ca="1" si="40"/>
        <v>ONBEKEND</v>
      </c>
      <c r="Y88" s="17" t="b">
        <f t="shared" ca="1" si="41"/>
        <v>0</v>
      </c>
      <c r="Z88" s="17" t="b">
        <f t="shared" si="42"/>
        <v>0</v>
      </c>
      <c r="AA88" s="17" t="b">
        <f t="shared" ca="1" si="43"/>
        <v>0</v>
      </c>
      <c r="AB88" s="20" t="str">
        <f t="shared" ca="1" si="44"/>
        <v/>
      </c>
      <c r="AC88" s="15"/>
      <c r="AD88" s="15"/>
      <c r="AE88" s="21"/>
      <c r="AF88" s="22"/>
    </row>
    <row r="89" spans="1:32" ht="15" customHeight="1" x14ac:dyDescent="0.3">
      <c r="A89" s="15"/>
      <c r="B89" s="17" t="str">
        <f t="shared" si="30"/>
        <v/>
      </c>
      <c r="C89" s="38" t="str">
        <f t="shared" si="31"/>
        <v/>
      </c>
      <c r="D89" s="17" t="str">
        <f t="shared" si="32"/>
        <v/>
      </c>
      <c r="E89" s="17" t="str">
        <f t="shared" si="33"/>
        <v/>
      </c>
      <c r="F89" s="15"/>
      <c r="G89" s="15"/>
      <c r="H89" s="15"/>
      <c r="I89" s="17" t="str">
        <f t="shared" si="34"/>
        <v/>
      </c>
      <c r="J89" s="18" t="str">
        <f>IFERROR(IF(I89="","",VLOOKUP(I89,Normtijden_Config!$A$4:$S$55,7,FALSE())),"")</f>
        <v/>
      </c>
      <c r="K89" s="17" t="str">
        <f>IFERROR(IF(I89="","",VLOOKUP(I89,Normtijden_Config!$A$4:$S$55,8,FALSE())),"")</f>
        <v/>
      </c>
      <c r="L89" s="18" t="str">
        <f>IF(I89="","",IFERROR(  IF(VLOOKUP(I89,Normtijden_Config!$A$4:$S$55,9,FALSE())&lt;&gt;"",     VLOOKUP(I89,Normtijden_Config!$A$4:$S$55,9,FALSE()),     IFERROR(-INDEX(tbl_Offsets_Wd,MATCH(K89&amp;"|"&amp;D89&amp;"|"&amp;E89,tbl_Offsets_Key,0)),"")),""))</f>
        <v/>
      </c>
      <c r="M89" s="17" t="str">
        <f>IFERROR(IF(I89="","",VLOOKUP(I89,Normtijden_Config!$A$4:$S$55,10,FALSE())),"")</f>
        <v/>
      </c>
      <c r="N89" s="17" t="str">
        <f>IFERROR(IF(I89="","",VLOOKUP(I89,Normtijden_Config!$A$4:$S$55,11,FALSE())),"")</f>
        <v/>
      </c>
      <c r="O89" s="15"/>
      <c r="P89" s="15"/>
      <c r="Q89" s="39"/>
      <c r="R89" s="39"/>
      <c r="S89" s="38" t="str">
        <f t="shared" si="35"/>
        <v/>
      </c>
      <c r="T89" s="38" t="str">
        <f t="shared" si="36"/>
        <v/>
      </c>
      <c r="U89" s="38" t="str">
        <f t="shared" ca="1" si="37"/>
        <v/>
      </c>
      <c r="V89" s="38">
        <f t="shared" ca="1" si="38"/>
        <v>0</v>
      </c>
      <c r="W89" s="18" t="str">
        <f t="shared" ca="1" si="39"/>
        <v>n.v.t.</v>
      </c>
      <c r="X89" s="17" t="str">
        <f t="shared" ca="1" si="40"/>
        <v>ONBEKEND</v>
      </c>
      <c r="Y89" s="17" t="b">
        <f t="shared" ca="1" si="41"/>
        <v>0</v>
      </c>
      <c r="Z89" s="17" t="b">
        <f t="shared" si="42"/>
        <v>0</v>
      </c>
      <c r="AA89" s="17" t="b">
        <f t="shared" ca="1" si="43"/>
        <v>0</v>
      </c>
      <c r="AB89" s="20" t="str">
        <f t="shared" ca="1" si="44"/>
        <v/>
      </c>
      <c r="AC89" s="15"/>
      <c r="AD89" s="15"/>
      <c r="AE89" s="21"/>
      <c r="AF89" s="22"/>
    </row>
    <row r="90" spans="1:32" ht="15" customHeight="1" x14ac:dyDescent="0.3">
      <c r="A90" s="15"/>
      <c r="B90" s="17" t="str">
        <f t="shared" si="30"/>
        <v/>
      </c>
      <c r="C90" s="38" t="str">
        <f t="shared" si="31"/>
        <v/>
      </c>
      <c r="D90" s="17" t="str">
        <f t="shared" si="32"/>
        <v/>
      </c>
      <c r="E90" s="17" t="str">
        <f t="shared" si="33"/>
        <v/>
      </c>
      <c r="F90" s="15"/>
      <c r="G90" s="15"/>
      <c r="H90" s="15"/>
      <c r="I90" s="17" t="str">
        <f t="shared" si="34"/>
        <v/>
      </c>
      <c r="J90" s="18" t="str">
        <f>IFERROR(IF(I90="","",VLOOKUP(I90,Normtijden_Config!$A$4:$S$55,7,FALSE())),"")</f>
        <v/>
      </c>
      <c r="K90" s="17" t="str">
        <f>IFERROR(IF(I90="","",VLOOKUP(I90,Normtijden_Config!$A$4:$S$55,8,FALSE())),"")</f>
        <v/>
      </c>
      <c r="L90" s="18" t="str">
        <f>IF(I90="","",IFERROR(  IF(VLOOKUP(I90,Normtijden_Config!$A$4:$S$55,9,FALSE())&lt;&gt;"",     VLOOKUP(I90,Normtijden_Config!$A$4:$S$55,9,FALSE()),     IFERROR(-INDEX(tbl_Offsets_Wd,MATCH(K90&amp;"|"&amp;D90&amp;"|"&amp;E90,tbl_Offsets_Key,0)),"")),""))</f>
        <v/>
      </c>
      <c r="M90" s="17" t="str">
        <f>IFERROR(IF(I90="","",VLOOKUP(I90,Normtijden_Config!$A$4:$S$55,10,FALSE())),"")</f>
        <v/>
      </c>
      <c r="N90" s="17" t="str">
        <f>IFERROR(IF(I90="","",VLOOKUP(I90,Normtijden_Config!$A$4:$S$55,11,FALSE())),"")</f>
        <v/>
      </c>
      <c r="O90" s="15"/>
      <c r="P90" s="15"/>
      <c r="Q90" s="39"/>
      <c r="R90" s="39"/>
      <c r="S90" s="38" t="str">
        <f t="shared" si="35"/>
        <v/>
      </c>
      <c r="T90" s="38" t="str">
        <f t="shared" si="36"/>
        <v/>
      </c>
      <c r="U90" s="38" t="str">
        <f t="shared" ca="1" si="37"/>
        <v/>
      </c>
      <c r="V90" s="38">
        <f t="shared" ca="1" si="38"/>
        <v>0</v>
      </c>
      <c r="W90" s="18" t="str">
        <f t="shared" ca="1" si="39"/>
        <v>n.v.t.</v>
      </c>
      <c r="X90" s="17" t="str">
        <f t="shared" ca="1" si="40"/>
        <v>ONBEKEND</v>
      </c>
      <c r="Y90" s="17" t="b">
        <f t="shared" ca="1" si="41"/>
        <v>0</v>
      </c>
      <c r="Z90" s="17" t="b">
        <f t="shared" si="42"/>
        <v>0</v>
      </c>
      <c r="AA90" s="17" t="b">
        <f t="shared" ca="1" si="43"/>
        <v>0</v>
      </c>
      <c r="AB90" s="20" t="str">
        <f t="shared" ca="1" si="44"/>
        <v/>
      </c>
      <c r="AC90" s="15"/>
      <c r="AD90" s="15"/>
      <c r="AE90" s="21"/>
      <c r="AF90" s="22"/>
    </row>
    <row r="91" spans="1:32" ht="15" customHeight="1" x14ac:dyDescent="0.3">
      <c r="A91" s="15"/>
      <c r="B91" s="17" t="str">
        <f t="shared" si="30"/>
        <v/>
      </c>
      <c r="C91" s="38" t="str">
        <f t="shared" si="31"/>
        <v/>
      </c>
      <c r="D91" s="17" t="str">
        <f t="shared" si="32"/>
        <v/>
      </c>
      <c r="E91" s="17" t="str">
        <f t="shared" si="33"/>
        <v/>
      </c>
      <c r="F91" s="15"/>
      <c r="G91" s="15"/>
      <c r="H91" s="15"/>
      <c r="I91" s="17" t="str">
        <f t="shared" si="34"/>
        <v/>
      </c>
      <c r="J91" s="18" t="str">
        <f>IFERROR(IF(I91="","",VLOOKUP(I91,Normtijden_Config!$A$4:$S$55,7,FALSE())),"")</f>
        <v/>
      </c>
      <c r="K91" s="17" t="str">
        <f>IFERROR(IF(I91="","",VLOOKUP(I91,Normtijden_Config!$A$4:$S$55,8,FALSE())),"")</f>
        <v/>
      </c>
      <c r="L91" s="18" t="str">
        <f>IF(I91="","",IFERROR(  IF(VLOOKUP(I91,Normtijden_Config!$A$4:$S$55,9,FALSE())&lt;&gt;"",     VLOOKUP(I91,Normtijden_Config!$A$4:$S$55,9,FALSE()),     IFERROR(-INDEX(tbl_Offsets_Wd,MATCH(K91&amp;"|"&amp;D91&amp;"|"&amp;E91,tbl_Offsets_Key,0)),"")),""))</f>
        <v/>
      </c>
      <c r="M91" s="17" t="str">
        <f>IFERROR(IF(I91="","",VLOOKUP(I91,Normtijden_Config!$A$4:$S$55,10,FALSE())),"")</f>
        <v/>
      </c>
      <c r="N91" s="17" t="str">
        <f>IFERROR(IF(I91="","",VLOOKUP(I91,Normtijden_Config!$A$4:$S$55,11,FALSE())),"")</f>
        <v/>
      </c>
      <c r="O91" s="15"/>
      <c r="P91" s="15"/>
      <c r="Q91" s="39"/>
      <c r="R91" s="39"/>
      <c r="S91" s="38" t="str">
        <f t="shared" si="35"/>
        <v/>
      </c>
      <c r="T91" s="38" t="str">
        <f t="shared" si="36"/>
        <v/>
      </c>
      <c r="U91" s="38" t="str">
        <f t="shared" ca="1" si="37"/>
        <v/>
      </c>
      <c r="V91" s="38">
        <f t="shared" ca="1" si="38"/>
        <v>0</v>
      </c>
      <c r="W91" s="18" t="str">
        <f t="shared" ca="1" si="39"/>
        <v>n.v.t.</v>
      </c>
      <c r="X91" s="17" t="str">
        <f t="shared" ca="1" si="40"/>
        <v>ONBEKEND</v>
      </c>
      <c r="Y91" s="17" t="b">
        <f t="shared" ca="1" si="41"/>
        <v>0</v>
      </c>
      <c r="Z91" s="17" t="b">
        <f t="shared" si="42"/>
        <v>0</v>
      </c>
      <c r="AA91" s="17" t="b">
        <f t="shared" ca="1" si="43"/>
        <v>0</v>
      </c>
      <c r="AB91" s="20" t="str">
        <f t="shared" ca="1" si="44"/>
        <v/>
      </c>
      <c r="AC91" s="15"/>
      <c r="AD91" s="15"/>
      <c r="AE91" s="21"/>
      <c r="AF91" s="22"/>
    </row>
    <row r="92" spans="1:32" ht="15" customHeight="1" x14ac:dyDescent="0.3">
      <c r="A92" s="15"/>
      <c r="B92" s="17" t="str">
        <f t="shared" si="30"/>
        <v/>
      </c>
      <c r="C92" s="38" t="str">
        <f t="shared" si="31"/>
        <v/>
      </c>
      <c r="D92" s="17" t="str">
        <f t="shared" si="32"/>
        <v/>
      </c>
      <c r="E92" s="17" t="str">
        <f t="shared" si="33"/>
        <v/>
      </c>
      <c r="F92" s="15"/>
      <c r="G92" s="15"/>
      <c r="H92" s="15"/>
      <c r="I92" s="17" t="str">
        <f t="shared" si="34"/>
        <v/>
      </c>
      <c r="J92" s="18" t="str">
        <f>IFERROR(IF(I92="","",VLOOKUP(I92,Normtijden_Config!$A$4:$S$55,7,FALSE())),"")</f>
        <v/>
      </c>
      <c r="K92" s="17" t="str">
        <f>IFERROR(IF(I92="","",VLOOKUP(I92,Normtijden_Config!$A$4:$S$55,8,FALSE())),"")</f>
        <v/>
      </c>
      <c r="L92" s="18" t="str">
        <f>IF(I92="","",IFERROR(  IF(VLOOKUP(I92,Normtijden_Config!$A$4:$S$55,9,FALSE())&lt;&gt;"",     VLOOKUP(I92,Normtijden_Config!$A$4:$S$55,9,FALSE()),     IFERROR(-INDEX(tbl_Offsets_Wd,MATCH(K92&amp;"|"&amp;D92&amp;"|"&amp;E92,tbl_Offsets_Key,0)),"")),""))</f>
        <v/>
      </c>
      <c r="M92" s="17" t="str">
        <f>IFERROR(IF(I92="","",VLOOKUP(I92,Normtijden_Config!$A$4:$S$55,10,FALSE())),"")</f>
        <v/>
      </c>
      <c r="N92" s="17" t="str">
        <f>IFERROR(IF(I92="","",VLOOKUP(I92,Normtijden_Config!$A$4:$S$55,11,FALSE())),"")</f>
        <v/>
      </c>
      <c r="O92" s="15"/>
      <c r="P92" s="15"/>
      <c r="Q92" s="39"/>
      <c r="R92" s="39"/>
      <c r="S92" s="38" t="str">
        <f t="shared" si="35"/>
        <v/>
      </c>
      <c r="T92" s="38" t="str">
        <f t="shared" si="36"/>
        <v/>
      </c>
      <c r="U92" s="38" t="str">
        <f t="shared" ca="1" si="37"/>
        <v/>
      </c>
      <c r="V92" s="38">
        <f t="shared" ca="1" si="38"/>
        <v>0</v>
      </c>
      <c r="W92" s="18" t="str">
        <f t="shared" ca="1" si="39"/>
        <v>n.v.t.</v>
      </c>
      <c r="X92" s="17" t="str">
        <f t="shared" ca="1" si="40"/>
        <v>ONBEKEND</v>
      </c>
      <c r="Y92" s="17" t="b">
        <f t="shared" ca="1" si="41"/>
        <v>0</v>
      </c>
      <c r="Z92" s="17" t="b">
        <f t="shared" si="42"/>
        <v>0</v>
      </c>
      <c r="AA92" s="17" t="b">
        <f t="shared" ca="1" si="43"/>
        <v>0</v>
      </c>
      <c r="AB92" s="20" t="str">
        <f t="shared" ca="1" si="44"/>
        <v/>
      </c>
      <c r="AC92" s="15"/>
      <c r="AD92" s="15"/>
      <c r="AE92" s="21"/>
      <c r="AF92" s="22"/>
    </row>
    <row r="93" spans="1:32" ht="15" customHeight="1" x14ac:dyDescent="0.3">
      <c r="A93" s="15"/>
      <c r="B93" s="17" t="str">
        <f t="shared" si="30"/>
        <v/>
      </c>
      <c r="C93" s="38" t="str">
        <f t="shared" si="31"/>
        <v/>
      </c>
      <c r="D93" s="17" t="str">
        <f t="shared" si="32"/>
        <v/>
      </c>
      <c r="E93" s="17" t="str">
        <f t="shared" si="33"/>
        <v/>
      </c>
      <c r="F93" s="15"/>
      <c r="G93" s="15"/>
      <c r="H93" s="15"/>
      <c r="I93" s="17" t="str">
        <f t="shared" si="34"/>
        <v/>
      </c>
      <c r="J93" s="18" t="str">
        <f>IFERROR(IF(I93="","",VLOOKUP(I93,Normtijden_Config!$A$4:$S$55,7,FALSE())),"")</f>
        <v/>
      </c>
      <c r="K93" s="17" t="str">
        <f>IFERROR(IF(I93="","",VLOOKUP(I93,Normtijden_Config!$A$4:$S$55,8,FALSE())),"")</f>
        <v/>
      </c>
      <c r="L93" s="18" t="str">
        <f>IF(I93="","",IFERROR(  IF(VLOOKUP(I93,Normtijden_Config!$A$4:$S$55,9,FALSE())&lt;&gt;"",     VLOOKUP(I93,Normtijden_Config!$A$4:$S$55,9,FALSE()),     IFERROR(-INDEX(tbl_Offsets_Wd,MATCH(K93&amp;"|"&amp;D93&amp;"|"&amp;E93,tbl_Offsets_Key,0)),"")),""))</f>
        <v/>
      </c>
      <c r="M93" s="17" t="str">
        <f>IFERROR(IF(I93="","",VLOOKUP(I93,Normtijden_Config!$A$4:$S$55,10,FALSE())),"")</f>
        <v/>
      </c>
      <c r="N93" s="17" t="str">
        <f>IFERROR(IF(I93="","",VLOOKUP(I93,Normtijden_Config!$A$4:$S$55,11,FALSE())),"")</f>
        <v/>
      </c>
      <c r="O93" s="15"/>
      <c r="P93" s="15"/>
      <c r="Q93" s="39"/>
      <c r="R93" s="39"/>
      <c r="S93" s="38" t="str">
        <f t="shared" si="35"/>
        <v/>
      </c>
      <c r="T93" s="38" t="str">
        <f t="shared" si="36"/>
        <v/>
      </c>
      <c r="U93" s="38" t="str">
        <f t="shared" ca="1" si="37"/>
        <v/>
      </c>
      <c r="V93" s="38">
        <f t="shared" ca="1" si="38"/>
        <v>0</v>
      </c>
      <c r="W93" s="18" t="str">
        <f t="shared" ca="1" si="39"/>
        <v>n.v.t.</v>
      </c>
      <c r="X93" s="17" t="str">
        <f t="shared" ca="1" si="40"/>
        <v>ONBEKEND</v>
      </c>
      <c r="Y93" s="17" t="b">
        <f t="shared" ca="1" si="41"/>
        <v>0</v>
      </c>
      <c r="Z93" s="17" t="b">
        <f t="shared" si="42"/>
        <v>0</v>
      </c>
      <c r="AA93" s="17" t="b">
        <f t="shared" ca="1" si="43"/>
        <v>0</v>
      </c>
      <c r="AB93" s="20" t="str">
        <f t="shared" ca="1" si="44"/>
        <v/>
      </c>
      <c r="AC93" s="15"/>
      <c r="AD93" s="15"/>
      <c r="AE93" s="21"/>
      <c r="AF93" s="22"/>
    </row>
    <row r="94" spans="1:32" ht="15" customHeight="1" x14ac:dyDescent="0.3">
      <c r="A94" s="15"/>
      <c r="B94" s="17" t="str">
        <f t="shared" si="30"/>
        <v/>
      </c>
      <c r="C94" s="38" t="str">
        <f t="shared" si="31"/>
        <v/>
      </c>
      <c r="D94" s="17" t="str">
        <f t="shared" si="32"/>
        <v/>
      </c>
      <c r="E94" s="17" t="str">
        <f t="shared" si="33"/>
        <v/>
      </c>
      <c r="F94" s="15"/>
      <c r="G94" s="15"/>
      <c r="H94" s="15"/>
      <c r="I94" s="17" t="str">
        <f t="shared" si="34"/>
        <v/>
      </c>
      <c r="J94" s="18" t="str">
        <f>IFERROR(IF(I94="","",VLOOKUP(I94,Normtijden_Config!$A$4:$S$55,7,FALSE())),"")</f>
        <v/>
      </c>
      <c r="K94" s="17" t="str">
        <f>IFERROR(IF(I94="","",VLOOKUP(I94,Normtijden_Config!$A$4:$S$55,8,FALSE())),"")</f>
        <v/>
      </c>
      <c r="L94" s="18" t="str">
        <f>IF(I94="","",IFERROR(  IF(VLOOKUP(I94,Normtijden_Config!$A$4:$S$55,9,FALSE())&lt;&gt;"",     VLOOKUP(I94,Normtijden_Config!$A$4:$S$55,9,FALSE()),     IFERROR(-INDEX(tbl_Offsets_Wd,MATCH(K94&amp;"|"&amp;D94&amp;"|"&amp;E94,tbl_Offsets_Key,0)),"")),""))</f>
        <v/>
      </c>
      <c r="M94" s="17" t="str">
        <f>IFERROR(IF(I94="","",VLOOKUP(I94,Normtijden_Config!$A$4:$S$55,10,FALSE())),"")</f>
        <v/>
      </c>
      <c r="N94" s="17" t="str">
        <f>IFERROR(IF(I94="","",VLOOKUP(I94,Normtijden_Config!$A$4:$S$55,11,FALSE())),"")</f>
        <v/>
      </c>
      <c r="O94" s="15"/>
      <c r="P94" s="15"/>
      <c r="Q94" s="39"/>
      <c r="R94" s="39"/>
      <c r="S94" s="38" t="str">
        <f t="shared" si="35"/>
        <v/>
      </c>
      <c r="T94" s="38" t="str">
        <f t="shared" si="36"/>
        <v/>
      </c>
      <c r="U94" s="38" t="str">
        <f t="shared" ca="1" si="37"/>
        <v/>
      </c>
      <c r="V94" s="38">
        <f t="shared" ca="1" si="38"/>
        <v>0</v>
      </c>
      <c r="W94" s="18" t="str">
        <f t="shared" ca="1" si="39"/>
        <v>n.v.t.</v>
      </c>
      <c r="X94" s="17" t="str">
        <f t="shared" ca="1" si="40"/>
        <v>ONBEKEND</v>
      </c>
      <c r="Y94" s="17" t="b">
        <f t="shared" ca="1" si="41"/>
        <v>0</v>
      </c>
      <c r="Z94" s="17" t="b">
        <f t="shared" si="42"/>
        <v>0</v>
      </c>
      <c r="AA94" s="17" t="b">
        <f t="shared" ca="1" si="43"/>
        <v>0</v>
      </c>
      <c r="AB94" s="20" t="str">
        <f t="shared" ca="1" si="44"/>
        <v/>
      </c>
      <c r="AC94" s="15"/>
      <c r="AD94" s="15"/>
      <c r="AE94" s="21"/>
      <c r="AF94" s="22"/>
    </row>
    <row r="95" spans="1:32" ht="15" customHeight="1" x14ac:dyDescent="0.3">
      <c r="A95" s="15"/>
      <c r="B95" s="17" t="str">
        <f t="shared" si="30"/>
        <v/>
      </c>
      <c r="C95" s="38" t="str">
        <f t="shared" si="31"/>
        <v/>
      </c>
      <c r="D95" s="17" t="str">
        <f t="shared" si="32"/>
        <v/>
      </c>
      <c r="E95" s="17" t="str">
        <f t="shared" si="33"/>
        <v/>
      </c>
      <c r="F95" s="15"/>
      <c r="G95" s="15"/>
      <c r="H95" s="15"/>
      <c r="I95" s="17" t="str">
        <f t="shared" si="34"/>
        <v/>
      </c>
      <c r="J95" s="18" t="str">
        <f>IFERROR(IF(I95="","",VLOOKUP(I95,Normtijden_Config!$A$4:$S$55,7,FALSE())),"")</f>
        <v/>
      </c>
      <c r="K95" s="17" t="str">
        <f>IFERROR(IF(I95="","",VLOOKUP(I95,Normtijden_Config!$A$4:$S$55,8,FALSE())),"")</f>
        <v/>
      </c>
      <c r="L95" s="18" t="str">
        <f>IF(I95="","",IFERROR(  IF(VLOOKUP(I95,Normtijden_Config!$A$4:$S$55,9,FALSE())&lt;&gt;"",     VLOOKUP(I95,Normtijden_Config!$A$4:$S$55,9,FALSE()),     IFERROR(-INDEX(tbl_Offsets_Wd,MATCH(K95&amp;"|"&amp;D95&amp;"|"&amp;E95,tbl_Offsets_Key,0)),"")),""))</f>
        <v/>
      </c>
      <c r="M95" s="17" t="str">
        <f>IFERROR(IF(I95="","",VLOOKUP(I95,Normtijden_Config!$A$4:$S$55,10,FALSE())),"")</f>
        <v/>
      </c>
      <c r="N95" s="17" t="str">
        <f>IFERROR(IF(I95="","",VLOOKUP(I95,Normtijden_Config!$A$4:$S$55,11,FALSE())),"")</f>
        <v/>
      </c>
      <c r="O95" s="15"/>
      <c r="P95" s="15"/>
      <c r="Q95" s="39"/>
      <c r="R95" s="39"/>
      <c r="S95" s="38" t="str">
        <f t="shared" si="35"/>
        <v/>
      </c>
      <c r="T95" s="38" t="str">
        <f t="shared" si="36"/>
        <v/>
      </c>
      <c r="U95" s="38" t="str">
        <f t="shared" ca="1" si="37"/>
        <v/>
      </c>
      <c r="V95" s="38">
        <f t="shared" ca="1" si="38"/>
        <v>0</v>
      </c>
      <c r="W95" s="18" t="str">
        <f t="shared" ca="1" si="39"/>
        <v>n.v.t.</v>
      </c>
      <c r="X95" s="17" t="str">
        <f t="shared" ca="1" si="40"/>
        <v>ONBEKEND</v>
      </c>
      <c r="Y95" s="17" t="b">
        <f t="shared" ca="1" si="41"/>
        <v>0</v>
      </c>
      <c r="Z95" s="17" t="b">
        <f t="shared" si="42"/>
        <v>0</v>
      </c>
      <c r="AA95" s="17" t="b">
        <f t="shared" ca="1" si="43"/>
        <v>0</v>
      </c>
      <c r="AB95" s="20" t="str">
        <f t="shared" ca="1" si="44"/>
        <v/>
      </c>
      <c r="AC95" s="15"/>
      <c r="AD95" s="15"/>
      <c r="AE95" s="21"/>
      <c r="AF95" s="22"/>
    </row>
    <row r="96" spans="1:32" ht="15" customHeight="1" x14ac:dyDescent="0.3">
      <c r="A96" s="15"/>
      <c r="B96" s="17" t="str">
        <f t="shared" si="30"/>
        <v/>
      </c>
      <c r="C96" s="38" t="str">
        <f t="shared" si="31"/>
        <v/>
      </c>
      <c r="D96" s="17" t="str">
        <f t="shared" si="32"/>
        <v/>
      </c>
      <c r="E96" s="17" t="str">
        <f t="shared" si="33"/>
        <v/>
      </c>
      <c r="F96" s="15"/>
      <c r="G96" s="15"/>
      <c r="H96" s="15"/>
      <c r="I96" s="17" t="str">
        <f t="shared" si="34"/>
        <v/>
      </c>
      <c r="J96" s="18" t="str">
        <f>IFERROR(IF(I96="","",VLOOKUP(I96,Normtijden_Config!$A$4:$S$55,7,FALSE())),"")</f>
        <v/>
      </c>
      <c r="K96" s="17" t="str">
        <f>IFERROR(IF(I96="","",VLOOKUP(I96,Normtijden_Config!$A$4:$S$55,8,FALSE())),"")</f>
        <v/>
      </c>
      <c r="L96" s="18" t="str">
        <f>IF(I96="","",IFERROR(  IF(VLOOKUP(I96,Normtijden_Config!$A$4:$S$55,9,FALSE())&lt;&gt;"",     VLOOKUP(I96,Normtijden_Config!$A$4:$S$55,9,FALSE()),     IFERROR(-INDEX(tbl_Offsets_Wd,MATCH(K96&amp;"|"&amp;D96&amp;"|"&amp;E96,tbl_Offsets_Key,0)),"")),""))</f>
        <v/>
      </c>
      <c r="M96" s="17" t="str">
        <f>IFERROR(IF(I96="","",VLOOKUP(I96,Normtijden_Config!$A$4:$S$55,10,FALSE())),"")</f>
        <v/>
      </c>
      <c r="N96" s="17" t="str">
        <f>IFERROR(IF(I96="","",VLOOKUP(I96,Normtijden_Config!$A$4:$S$55,11,FALSE())),"")</f>
        <v/>
      </c>
      <c r="O96" s="15"/>
      <c r="P96" s="15"/>
      <c r="Q96" s="39"/>
      <c r="R96" s="39"/>
      <c r="S96" s="38" t="str">
        <f t="shared" si="35"/>
        <v/>
      </c>
      <c r="T96" s="38" t="str">
        <f t="shared" si="36"/>
        <v/>
      </c>
      <c r="U96" s="38" t="str">
        <f t="shared" ca="1" si="37"/>
        <v/>
      </c>
      <c r="V96" s="38">
        <f t="shared" ca="1" si="38"/>
        <v>0</v>
      </c>
      <c r="W96" s="18" t="str">
        <f t="shared" ca="1" si="39"/>
        <v>n.v.t.</v>
      </c>
      <c r="X96" s="17" t="str">
        <f t="shared" ca="1" si="40"/>
        <v>ONBEKEND</v>
      </c>
      <c r="Y96" s="17" t="b">
        <f t="shared" ca="1" si="41"/>
        <v>0</v>
      </c>
      <c r="Z96" s="17" t="b">
        <f t="shared" si="42"/>
        <v>0</v>
      </c>
      <c r="AA96" s="17" t="b">
        <f t="shared" ca="1" si="43"/>
        <v>0</v>
      </c>
      <c r="AB96" s="20" t="str">
        <f t="shared" ca="1" si="44"/>
        <v/>
      </c>
      <c r="AC96" s="15"/>
      <c r="AD96" s="15"/>
      <c r="AE96" s="21"/>
      <c r="AF96" s="22"/>
    </row>
    <row r="97" spans="1:32" ht="15" customHeight="1" x14ac:dyDescent="0.3">
      <c r="A97" s="15"/>
      <c r="B97" s="17" t="str">
        <f t="shared" si="30"/>
        <v/>
      </c>
      <c r="C97" s="38" t="str">
        <f t="shared" si="31"/>
        <v/>
      </c>
      <c r="D97" s="17" t="str">
        <f t="shared" si="32"/>
        <v/>
      </c>
      <c r="E97" s="17" t="str">
        <f t="shared" si="33"/>
        <v/>
      </c>
      <c r="F97" s="15"/>
      <c r="G97" s="15"/>
      <c r="H97" s="15"/>
      <c r="I97" s="17" t="str">
        <f t="shared" si="34"/>
        <v/>
      </c>
      <c r="J97" s="18" t="str">
        <f>IFERROR(IF(I97="","",VLOOKUP(I97,Normtijden_Config!$A$4:$S$55,7,FALSE())),"")</f>
        <v/>
      </c>
      <c r="K97" s="17" t="str">
        <f>IFERROR(IF(I97="","",VLOOKUP(I97,Normtijden_Config!$A$4:$S$55,8,FALSE())),"")</f>
        <v/>
      </c>
      <c r="L97" s="18" t="str">
        <f>IF(I97="","",IFERROR(  IF(VLOOKUP(I97,Normtijden_Config!$A$4:$S$55,9,FALSE())&lt;&gt;"",     VLOOKUP(I97,Normtijden_Config!$A$4:$S$55,9,FALSE()),     IFERROR(-INDEX(tbl_Offsets_Wd,MATCH(K97&amp;"|"&amp;D97&amp;"|"&amp;E97,tbl_Offsets_Key,0)),"")),""))</f>
        <v/>
      </c>
      <c r="M97" s="17" t="str">
        <f>IFERROR(IF(I97="","",VLOOKUP(I97,Normtijden_Config!$A$4:$S$55,10,FALSE())),"")</f>
        <v/>
      </c>
      <c r="N97" s="17" t="str">
        <f>IFERROR(IF(I97="","",VLOOKUP(I97,Normtijden_Config!$A$4:$S$55,11,FALSE())),"")</f>
        <v/>
      </c>
      <c r="O97" s="15"/>
      <c r="P97" s="15"/>
      <c r="Q97" s="39"/>
      <c r="R97" s="39"/>
      <c r="S97" s="38" t="str">
        <f t="shared" si="35"/>
        <v/>
      </c>
      <c r="T97" s="38" t="str">
        <f t="shared" si="36"/>
        <v/>
      </c>
      <c r="U97" s="38" t="str">
        <f t="shared" ca="1" si="37"/>
        <v/>
      </c>
      <c r="V97" s="38">
        <f t="shared" ca="1" si="38"/>
        <v>0</v>
      </c>
      <c r="W97" s="18" t="str">
        <f t="shared" ca="1" si="39"/>
        <v>n.v.t.</v>
      </c>
      <c r="X97" s="17" t="str">
        <f t="shared" ca="1" si="40"/>
        <v>ONBEKEND</v>
      </c>
      <c r="Y97" s="17" t="b">
        <f t="shared" ca="1" si="41"/>
        <v>0</v>
      </c>
      <c r="Z97" s="17" t="b">
        <f t="shared" si="42"/>
        <v>0</v>
      </c>
      <c r="AA97" s="17" t="b">
        <f t="shared" ca="1" si="43"/>
        <v>0</v>
      </c>
      <c r="AB97" s="20" t="str">
        <f t="shared" ca="1" si="44"/>
        <v/>
      </c>
      <c r="AC97" s="15"/>
      <c r="AD97" s="15"/>
      <c r="AE97" s="21"/>
      <c r="AF97" s="22"/>
    </row>
    <row r="98" spans="1:32" ht="15" customHeight="1" x14ac:dyDescent="0.3">
      <c r="A98" s="15"/>
      <c r="B98" s="17" t="str">
        <f t="shared" si="30"/>
        <v/>
      </c>
      <c r="C98" s="38" t="str">
        <f t="shared" si="31"/>
        <v/>
      </c>
      <c r="D98" s="17" t="str">
        <f t="shared" si="32"/>
        <v/>
      </c>
      <c r="E98" s="17" t="str">
        <f t="shared" si="33"/>
        <v/>
      </c>
      <c r="F98" s="15"/>
      <c r="G98" s="15"/>
      <c r="H98" s="15"/>
      <c r="I98" s="17" t="str">
        <f t="shared" si="34"/>
        <v/>
      </c>
      <c r="J98" s="18" t="str">
        <f>IFERROR(IF(I98="","",VLOOKUP(I98,Normtijden_Config!$A$4:$S$55,7,FALSE())),"")</f>
        <v/>
      </c>
      <c r="K98" s="17" t="str">
        <f>IFERROR(IF(I98="","",VLOOKUP(I98,Normtijden_Config!$A$4:$S$55,8,FALSE())),"")</f>
        <v/>
      </c>
      <c r="L98" s="18" t="str">
        <f>IF(I98="","",IFERROR(  IF(VLOOKUP(I98,Normtijden_Config!$A$4:$S$55,9,FALSE())&lt;&gt;"",     VLOOKUP(I98,Normtijden_Config!$A$4:$S$55,9,FALSE()),     IFERROR(-INDEX(tbl_Offsets_Wd,MATCH(K98&amp;"|"&amp;D98&amp;"|"&amp;E98,tbl_Offsets_Key,0)),"")),""))</f>
        <v/>
      </c>
      <c r="M98" s="17" t="str">
        <f>IFERROR(IF(I98="","",VLOOKUP(I98,Normtijden_Config!$A$4:$S$55,10,FALSE())),"")</f>
        <v/>
      </c>
      <c r="N98" s="17" t="str">
        <f>IFERROR(IF(I98="","",VLOOKUP(I98,Normtijden_Config!$A$4:$S$55,11,FALSE())),"")</f>
        <v/>
      </c>
      <c r="O98" s="15"/>
      <c r="P98" s="15"/>
      <c r="Q98" s="39"/>
      <c r="R98" s="39"/>
      <c r="S98" s="38" t="str">
        <f t="shared" si="35"/>
        <v/>
      </c>
      <c r="T98" s="38" t="str">
        <f t="shared" si="36"/>
        <v/>
      </c>
      <c r="U98" s="38" t="str">
        <f t="shared" ca="1" si="37"/>
        <v/>
      </c>
      <c r="V98" s="38">
        <f t="shared" ca="1" si="38"/>
        <v>0</v>
      </c>
      <c r="W98" s="18" t="str">
        <f t="shared" ca="1" si="39"/>
        <v>n.v.t.</v>
      </c>
      <c r="X98" s="17" t="str">
        <f t="shared" ca="1" si="40"/>
        <v>ONBEKEND</v>
      </c>
      <c r="Y98" s="17" t="b">
        <f t="shared" ca="1" si="41"/>
        <v>0</v>
      </c>
      <c r="Z98" s="17" t="b">
        <f t="shared" si="42"/>
        <v>0</v>
      </c>
      <c r="AA98" s="17" t="b">
        <f t="shared" ca="1" si="43"/>
        <v>0</v>
      </c>
      <c r="AB98" s="20" t="str">
        <f t="shared" ca="1" si="44"/>
        <v/>
      </c>
      <c r="AC98" s="15"/>
      <c r="AD98" s="15"/>
      <c r="AE98" s="21"/>
      <c r="AF98" s="22"/>
    </row>
    <row r="99" spans="1:32" ht="15" customHeight="1" x14ac:dyDescent="0.3">
      <c r="A99" s="15"/>
      <c r="B99" s="17" t="str">
        <f t="shared" si="30"/>
        <v/>
      </c>
      <c r="C99" s="38" t="str">
        <f t="shared" si="31"/>
        <v/>
      </c>
      <c r="D99" s="17" t="str">
        <f t="shared" si="32"/>
        <v/>
      </c>
      <c r="E99" s="17" t="str">
        <f t="shared" si="33"/>
        <v/>
      </c>
      <c r="F99" s="15"/>
      <c r="G99" s="15"/>
      <c r="H99" s="15"/>
      <c r="I99" s="17" t="str">
        <f t="shared" si="34"/>
        <v/>
      </c>
      <c r="J99" s="18" t="str">
        <f>IFERROR(IF(I99="","",VLOOKUP(I99,Normtijden_Config!$A$4:$S$55,7,FALSE())),"")</f>
        <v/>
      </c>
      <c r="K99" s="17" t="str">
        <f>IFERROR(IF(I99="","",VLOOKUP(I99,Normtijden_Config!$A$4:$S$55,8,FALSE())),"")</f>
        <v/>
      </c>
      <c r="L99" s="18" t="str">
        <f>IF(I99="","",IFERROR(  IF(VLOOKUP(I99,Normtijden_Config!$A$4:$S$55,9,FALSE())&lt;&gt;"",     VLOOKUP(I99,Normtijden_Config!$A$4:$S$55,9,FALSE()),     IFERROR(-INDEX(tbl_Offsets_Wd,MATCH(K99&amp;"|"&amp;D99&amp;"|"&amp;E99,tbl_Offsets_Key,0)),"")),""))</f>
        <v/>
      </c>
      <c r="M99" s="17" t="str">
        <f>IFERROR(IF(I99="","",VLOOKUP(I99,Normtijden_Config!$A$4:$S$55,10,FALSE())),"")</f>
        <v/>
      </c>
      <c r="N99" s="17" t="str">
        <f>IFERROR(IF(I99="","",VLOOKUP(I99,Normtijden_Config!$A$4:$S$55,11,FALSE())),"")</f>
        <v/>
      </c>
      <c r="O99" s="15"/>
      <c r="P99" s="15"/>
      <c r="Q99" s="39"/>
      <c r="R99" s="39"/>
      <c r="S99" s="38" t="str">
        <f t="shared" si="35"/>
        <v/>
      </c>
      <c r="T99" s="38" t="str">
        <f t="shared" si="36"/>
        <v/>
      </c>
      <c r="U99" s="38" t="str">
        <f t="shared" ca="1" si="37"/>
        <v/>
      </c>
      <c r="V99" s="38">
        <f t="shared" ca="1" si="38"/>
        <v>0</v>
      </c>
      <c r="W99" s="18" t="str">
        <f t="shared" ca="1" si="39"/>
        <v>n.v.t.</v>
      </c>
      <c r="X99" s="17" t="str">
        <f t="shared" ca="1" si="40"/>
        <v>ONBEKEND</v>
      </c>
      <c r="Y99" s="17" t="b">
        <f t="shared" ca="1" si="41"/>
        <v>0</v>
      </c>
      <c r="Z99" s="17" t="b">
        <f t="shared" si="42"/>
        <v>0</v>
      </c>
      <c r="AA99" s="17" t="b">
        <f t="shared" ca="1" si="43"/>
        <v>0</v>
      </c>
      <c r="AB99" s="20" t="str">
        <f t="shared" ca="1" si="44"/>
        <v/>
      </c>
      <c r="AC99" s="15"/>
      <c r="AD99" s="15"/>
      <c r="AE99" s="21"/>
      <c r="AF99" s="22"/>
    </row>
    <row r="100" spans="1:32" ht="15" customHeight="1" x14ac:dyDescent="0.3">
      <c r="A100" s="15"/>
      <c r="B100" s="17" t="str">
        <f t="shared" ref="B100:B131" si="45">IF(A100="","",IFERROR(INDEX(tbl_Proj_Naam,MATCH(A100,tbl_Proj_ID,0)),"—"))</f>
        <v/>
      </c>
      <c r="C100" s="38" t="str">
        <f t="shared" ref="C100:C131" si="46">IF(A100="","",IFERROR(INDEX(tbl_Proj_GSU,MATCH(A100,tbl_Proj_ID,0)),""))</f>
        <v/>
      </c>
      <c r="D100" s="17" t="str">
        <f t="shared" ref="D100:D131" si="47">IF(A100="","",IFERROR(INDEX(tbl_Proj_Rt,MATCH(A100,tbl_Proj_ID,0)),""))</f>
        <v/>
      </c>
      <c r="E100" s="17" t="str">
        <f t="shared" ref="E100:E131" si="48">IF(A100="","",IFERROR(INDEX(tbl_Proj_Vt,MATCH(A100,tbl_Proj_ID,0)),""))</f>
        <v/>
      </c>
      <c r="F100" s="15"/>
      <c r="G100" s="15"/>
      <c r="H100" s="15"/>
      <c r="I100" s="17" t="str">
        <f t="shared" ref="I100:I131" si="49">IF(OR(F100="",H100=""),"",IFERROR(INDEX(tbl_Keuzes_ItemID,MATCH(LEFT(F100,1)&amp;"|"&amp;G100&amp;"|"&amp;H100,tbl_Keuzes_Key,0)),""))</f>
        <v/>
      </c>
      <c r="J100" s="18" t="str">
        <f>IFERROR(IF(I100="","",VLOOKUP(I100,Normtijden_Config!$A$4:$S$55,7,FALSE())),"")</f>
        <v/>
      </c>
      <c r="K100" s="17" t="str">
        <f>IFERROR(IF(I100="","",VLOOKUP(I100,Normtijden_Config!$A$4:$S$55,8,FALSE())),"")</f>
        <v/>
      </c>
      <c r="L100" s="18" t="str">
        <f>IF(I100="","",IFERROR(  IF(VLOOKUP(I100,Normtijden_Config!$A$4:$S$55,9,FALSE())&lt;&gt;"",     VLOOKUP(I100,Normtijden_Config!$A$4:$S$55,9,FALSE()),     IFERROR(-INDEX(tbl_Offsets_Wd,MATCH(K100&amp;"|"&amp;D100&amp;"|"&amp;E100,tbl_Offsets_Key,0)),"")),""))</f>
        <v/>
      </c>
      <c r="M100" s="17" t="str">
        <f>IFERROR(IF(I100="","",VLOOKUP(I100,Normtijden_Config!$A$4:$S$55,10,FALSE())),"")</f>
        <v/>
      </c>
      <c r="N100" s="17" t="str">
        <f>IFERROR(IF(I100="","",VLOOKUP(I100,Normtijden_Config!$A$4:$S$55,11,FALSE())),"")</f>
        <v/>
      </c>
      <c r="O100" s="15"/>
      <c r="P100" s="15"/>
      <c r="Q100" s="39"/>
      <c r="R100" s="39"/>
      <c r="S100" s="38" t="str">
        <f t="shared" ref="S100:S131" si="50">IF(OR(C100="",L100=""),"",WORKDAY(C100,-L100))</f>
        <v/>
      </c>
      <c r="T100" s="38" t="str">
        <f t="shared" ref="T100:T131" si="51">IF(OR(S100="",J100=""),"",WORKDAY(S100,-J100))</f>
        <v/>
      </c>
      <c r="U100" s="38" t="str">
        <f t="shared" ref="U100:U131" ca="1" si="52">IF(R100&lt;&gt;"",R100,IF(AND(Q100&lt;&gt;"",ISNUMBER(J100)),WORKDAY(Q100,J100),IF(AND(P100="Nodig",ISNUMBER(J100)),WORKDAY(TODAY(),J100),"")))</f>
        <v/>
      </c>
      <c r="V100" s="38">
        <f t="shared" ref="V100:V131" ca="1" si="53">IF(OR(P100="Afgerond",P100="Goedgekeurd",P100="N.v.t"),0,IF(OR(U100="",L100=""),0,WORKDAY(U100,L100)))</f>
        <v>0</v>
      </c>
      <c r="W100" s="18" t="str">
        <f t="shared" ref="W100:W131" ca="1" si="54">IF(P100="N.v.t","",IF(OR(P100="Afgerond",P100="Goedgekeurd"),"✓",IF(J100="","n.v.t.",IF(Q100="",J100,J100-NETWORKDAYS(Q100,TODAY())+1))))</f>
        <v>n.v.t.</v>
      </c>
      <c r="X100" s="17" t="str">
        <f t="shared" ref="X100:X131" ca="1" si="55">IF(OR(U100="",S100=""),"ONBEKEND",IF(U100&lt;=S100,"JA",IF(U100&lt;=C100,"KRAP","NEE")))</f>
        <v>ONBEKEND</v>
      </c>
      <c r="Y100" s="17" t="b">
        <f t="shared" ref="Y100:Y131" ca="1" si="56">IF(A100="",FALSE(),OR(X100="KRAP",AND(P100="Nodig",IFERROR(TODAY()&gt;=T100-10,FALSE())),AND(P100="Ingediend",ISNUMBER(W100),W100&lt;=5,W100&gt;0),P100="Afgewezen"))</f>
        <v>0</v>
      </c>
      <c r="Z100" s="17" t="b">
        <f t="shared" ref="Z100:Z131" si="57">IF(A100="",FALSE(),AND(M100=TRUE(),OR(X100="NEE",AND(ISNUMBER(W100),W100&lt;0))))</f>
        <v>0</v>
      </c>
      <c r="AA100" s="17" t="b">
        <f t="shared" ref="AA100:AA131" ca="1" si="58">IF(A100="",FALSE(),AND(N100=TRUE(),OR(P100="Nodig",P100="Ingediend",P100="Afgewezen"),IFERROR(TODAY()&gt;S100,FALSE())))</f>
        <v>0</v>
      </c>
      <c r="AB100" s="20" t="str">
        <f t="shared" ref="AB100:AB131" ca="1" si="59">IF(A100="","",IF(P100="N.v.t","⚪",IF(OR(P100="Afgerond",P100="Goedgekeurd"),"🟢",IF(Z100=TRUE(),"🔴",IF(AA100=TRUE(),"🔴",IF(Y100=TRUE(),"🟠",IF(AND(F100="G-Schouw",J100=""),IF(P100="Ingediend","🟠",IF(AND(C100&lt;&gt;"",TODAY()&gt;C100-28),"🔴","🟠")),"🟢")))))))</f>
        <v/>
      </c>
      <c r="AC100" s="15"/>
      <c r="AD100" s="15"/>
      <c r="AE100" s="21"/>
      <c r="AF100" s="22"/>
    </row>
    <row r="101" spans="1:32" ht="15" customHeight="1" x14ac:dyDescent="0.3">
      <c r="A101" s="15"/>
      <c r="B101" s="17" t="str">
        <f t="shared" si="45"/>
        <v/>
      </c>
      <c r="C101" s="38" t="str">
        <f t="shared" si="46"/>
        <v/>
      </c>
      <c r="D101" s="17" t="str">
        <f t="shared" si="47"/>
        <v/>
      </c>
      <c r="E101" s="17" t="str">
        <f t="shared" si="48"/>
        <v/>
      </c>
      <c r="F101" s="15"/>
      <c r="G101" s="15"/>
      <c r="H101" s="15"/>
      <c r="I101" s="17" t="str">
        <f t="shared" si="49"/>
        <v/>
      </c>
      <c r="J101" s="18" t="str">
        <f>IFERROR(IF(I101="","",VLOOKUP(I101,Normtijden_Config!$A$4:$S$55,7,FALSE())),"")</f>
        <v/>
      </c>
      <c r="K101" s="17" t="str">
        <f>IFERROR(IF(I101="","",VLOOKUP(I101,Normtijden_Config!$A$4:$S$55,8,FALSE())),"")</f>
        <v/>
      </c>
      <c r="L101" s="18" t="str">
        <f>IF(I101="","",IFERROR(  IF(VLOOKUP(I101,Normtijden_Config!$A$4:$S$55,9,FALSE())&lt;&gt;"",     VLOOKUP(I101,Normtijden_Config!$A$4:$S$55,9,FALSE()),     IFERROR(-INDEX(tbl_Offsets_Wd,MATCH(K101&amp;"|"&amp;D101&amp;"|"&amp;E101,tbl_Offsets_Key,0)),"")),""))</f>
        <v/>
      </c>
      <c r="M101" s="17" t="str">
        <f>IFERROR(IF(I101="","",VLOOKUP(I101,Normtijden_Config!$A$4:$S$55,10,FALSE())),"")</f>
        <v/>
      </c>
      <c r="N101" s="17" t="str">
        <f>IFERROR(IF(I101="","",VLOOKUP(I101,Normtijden_Config!$A$4:$S$55,11,FALSE())),"")</f>
        <v/>
      </c>
      <c r="O101" s="15"/>
      <c r="P101" s="15"/>
      <c r="Q101" s="39"/>
      <c r="R101" s="39"/>
      <c r="S101" s="38" t="str">
        <f t="shared" si="50"/>
        <v/>
      </c>
      <c r="T101" s="38" t="str">
        <f t="shared" si="51"/>
        <v/>
      </c>
      <c r="U101" s="38" t="str">
        <f t="shared" ca="1" si="52"/>
        <v/>
      </c>
      <c r="V101" s="38">
        <f t="shared" ca="1" si="53"/>
        <v>0</v>
      </c>
      <c r="W101" s="18" t="str">
        <f t="shared" ca="1" si="54"/>
        <v>n.v.t.</v>
      </c>
      <c r="X101" s="17" t="str">
        <f t="shared" ca="1" si="55"/>
        <v>ONBEKEND</v>
      </c>
      <c r="Y101" s="17" t="b">
        <f t="shared" ca="1" si="56"/>
        <v>0</v>
      </c>
      <c r="Z101" s="17" t="b">
        <f t="shared" si="57"/>
        <v>0</v>
      </c>
      <c r="AA101" s="17" t="b">
        <f t="shared" ca="1" si="58"/>
        <v>0</v>
      </c>
      <c r="AB101" s="20" t="str">
        <f t="shared" ca="1" si="59"/>
        <v/>
      </c>
      <c r="AC101" s="15"/>
      <c r="AD101" s="15"/>
      <c r="AE101" s="21"/>
      <c r="AF101" s="22"/>
    </row>
    <row r="102" spans="1:32" ht="15" customHeight="1" x14ac:dyDescent="0.3">
      <c r="A102" s="15"/>
      <c r="B102" s="17" t="str">
        <f t="shared" si="45"/>
        <v/>
      </c>
      <c r="C102" s="38" t="str">
        <f t="shared" si="46"/>
        <v/>
      </c>
      <c r="D102" s="17" t="str">
        <f t="shared" si="47"/>
        <v/>
      </c>
      <c r="E102" s="17" t="str">
        <f t="shared" si="48"/>
        <v/>
      </c>
      <c r="F102" s="15"/>
      <c r="G102" s="15"/>
      <c r="H102" s="15"/>
      <c r="I102" s="17" t="str">
        <f t="shared" si="49"/>
        <v/>
      </c>
      <c r="J102" s="18" t="str">
        <f>IFERROR(IF(I102="","",VLOOKUP(I102,Normtijden_Config!$A$4:$S$55,7,FALSE())),"")</f>
        <v/>
      </c>
      <c r="K102" s="17" t="str">
        <f>IFERROR(IF(I102="","",VLOOKUP(I102,Normtijden_Config!$A$4:$S$55,8,FALSE())),"")</f>
        <v/>
      </c>
      <c r="L102" s="18" t="str">
        <f>IF(I102="","",IFERROR(  IF(VLOOKUP(I102,Normtijden_Config!$A$4:$S$55,9,FALSE())&lt;&gt;"",     VLOOKUP(I102,Normtijden_Config!$A$4:$S$55,9,FALSE()),     IFERROR(-INDEX(tbl_Offsets_Wd,MATCH(K102&amp;"|"&amp;D102&amp;"|"&amp;E102,tbl_Offsets_Key,0)),"")),""))</f>
        <v/>
      </c>
      <c r="M102" s="17" t="str">
        <f>IFERROR(IF(I102="","",VLOOKUP(I102,Normtijden_Config!$A$4:$S$55,10,FALSE())),"")</f>
        <v/>
      </c>
      <c r="N102" s="17" t="str">
        <f>IFERROR(IF(I102="","",VLOOKUP(I102,Normtijden_Config!$A$4:$S$55,11,FALSE())),"")</f>
        <v/>
      </c>
      <c r="O102" s="15"/>
      <c r="P102" s="15"/>
      <c r="Q102" s="39"/>
      <c r="R102" s="39"/>
      <c r="S102" s="38" t="str">
        <f t="shared" si="50"/>
        <v/>
      </c>
      <c r="T102" s="38" t="str">
        <f t="shared" si="51"/>
        <v/>
      </c>
      <c r="U102" s="38" t="str">
        <f t="shared" ca="1" si="52"/>
        <v/>
      </c>
      <c r="V102" s="38">
        <f t="shared" ca="1" si="53"/>
        <v>0</v>
      </c>
      <c r="W102" s="18" t="str">
        <f t="shared" ca="1" si="54"/>
        <v>n.v.t.</v>
      </c>
      <c r="X102" s="17" t="str">
        <f t="shared" ca="1" si="55"/>
        <v>ONBEKEND</v>
      </c>
      <c r="Y102" s="17" t="b">
        <f t="shared" ca="1" si="56"/>
        <v>0</v>
      </c>
      <c r="Z102" s="17" t="b">
        <f t="shared" si="57"/>
        <v>0</v>
      </c>
      <c r="AA102" s="17" t="b">
        <f t="shared" ca="1" si="58"/>
        <v>0</v>
      </c>
      <c r="AB102" s="20" t="str">
        <f t="shared" ca="1" si="59"/>
        <v/>
      </c>
      <c r="AC102" s="15"/>
      <c r="AD102" s="15"/>
      <c r="AE102" s="21"/>
      <c r="AF102" s="22"/>
    </row>
    <row r="103" spans="1:32" ht="15" customHeight="1" x14ac:dyDescent="0.3">
      <c r="A103" s="15"/>
      <c r="B103" s="17" t="str">
        <f t="shared" si="45"/>
        <v/>
      </c>
      <c r="C103" s="38" t="str">
        <f t="shared" si="46"/>
        <v/>
      </c>
      <c r="D103" s="17" t="str">
        <f t="shared" si="47"/>
        <v/>
      </c>
      <c r="E103" s="17" t="str">
        <f t="shared" si="48"/>
        <v/>
      </c>
      <c r="F103" s="15"/>
      <c r="G103" s="15"/>
      <c r="H103" s="15"/>
      <c r="I103" s="17" t="str">
        <f t="shared" si="49"/>
        <v/>
      </c>
      <c r="J103" s="18" t="str">
        <f>IFERROR(IF(I103="","",VLOOKUP(I103,Normtijden_Config!$A$4:$S$55,7,FALSE())),"")</f>
        <v/>
      </c>
      <c r="K103" s="17" t="str">
        <f>IFERROR(IF(I103="","",VLOOKUP(I103,Normtijden_Config!$A$4:$S$55,8,FALSE())),"")</f>
        <v/>
      </c>
      <c r="L103" s="18" t="str">
        <f>IF(I103="","",IFERROR(  IF(VLOOKUP(I103,Normtijden_Config!$A$4:$S$55,9,FALSE())&lt;&gt;"",     VLOOKUP(I103,Normtijden_Config!$A$4:$S$55,9,FALSE()),     IFERROR(-INDEX(tbl_Offsets_Wd,MATCH(K103&amp;"|"&amp;D103&amp;"|"&amp;E103,tbl_Offsets_Key,0)),"")),""))</f>
        <v/>
      </c>
      <c r="M103" s="17" t="str">
        <f>IFERROR(IF(I103="","",VLOOKUP(I103,Normtijden_Config!$A$4:$S$55,10,FALSE())),"")</f>
        <v/>
      </c>
      <c r="N103" s="17" t="str">
        <f>IFERROR(IF(I103="","",VLOOKUP(I103,Normtijden_Config!$A$4:$S$55,11,FALSE())),"")</f>
        <v/>
      </c>
      <c r="O103" s="15"/>
      <c r="P103" s="15"/>
      <c r="Q103" s="39"/>
      <c r="R103" s="39"/>
      <c r="S103" s="38" t="str">
        <f t="shared" si="50"/>
        <v/>
      </c>
      <c r="T103" s="38" t="str">
        <f t="shared" si="51"/>
        <v/>
      </c>
      <c r="U103" s="38" t="str">
        <f t="shared" ca="1" si="52"/>
        <v/>
      </c>
      <c r="V103" s="38">
        <f t="shared" ca="1" si="53"/>
        <v>0</v>
      </c>
      <c r="W103" s="18" t="str">
        <f t="shared" ca="1" si="54"/>
        <v>n.v.t.</v>
      </c>
      <c r="X103" s="17" t="str">
        <f t="shared" ca="1" si="55"/>
        <v>ONBEKEND</v>
      </c>
      <c r="Y103" s="17" t="b">
        <f t="shared" ca="1" si="56"/>
        <v>0</v>
      </c>
      <c r="Z103" s="17" t="b">
        <f t="shared" si="57"/>
        <v>0</v>
      </c>
      <c r="AA103" s="17" t="b">
        <f t="shared" ca="1" si="58"/>
        <v>0</v>
      </c>
      <c r="AB103" s="20" t="str">
        <f t="shared" ca="1" si="59"/>
        <v/>
      </c>
      <c r="AC103" s="15"/>
      <c r="AD103" s="15"/>
      <c r="AE103" s="21"/>
      <c r="AF103" s="22"/>
    </row>
    <row r="104" spans="1:32" ht="15" customHeight="1" x14ac:dyDescent="0.3">
      <c r="A104" s="15"/>
      <c r="B104" s="17" t="str">
        <f t="shared" si="45"/>
        <v/>
      </c>
      <c r="C104" s="38" t="str">
        <f t="shared" si="46"/>
        <v/>
      </c>
      <c r="D104" s="17" t="str">
        <f t="shared" si="47"/>
        <v/>
      </c>
      <c r="E104" s="17" t="str">
        <f t="shared" si="48"/>
        <v/>
      </c>
      <c r="F104" s="15"/>
      <c r="G104" s="15"/>
      <c r="H104" s="15"/>
      <c r="I104" s="17" t="str">
        <f t="shared" si="49"/>
        <v/>
      </c>
      <c r="J104" s="18" t="str">
        <f>IFERROR(IF(I104="","",VLOOKUP(I104,Normtijden_Config!$A$4:$S$55,7,FALSE())),"")</f>
        <v/>
      </c>
      <c r="K104" s="17" t="str">
        <f>IFERROR(IF(I104="","",VLOOKUP(I104,Normtijden_Config!$A$4:$S$55,8,FALSE())),"")</f>
        <v/>
      </c>
      <c r="L104" s="18" t="str">
        <f>IF(I104="","",IFERROR(  IF(VLOOKUP(I104,Normtijden_Config!$A$4:$S$55,9,FALSE())&lt;&gt;"",     VLOOKUP(I104,Normtijden_Config!$A$4:$S$55,9,FALSE()),     IFERROR(-INDEX(tbl_Offsets_Wd,MATCH(K104&amp;"|"&amp;D104&amp;"|"&amp;E104,tbl_Offsets_Key,0)),"")),""))</f>
        <v/>
      </c>
      <c r="M104" s="17" t="str">
        <f>IFERROR(IF(I104="","",VLOOKUP(I104,Normtijden_Config!$A$4:$S$55,10,FALSE())),"")</f>
        <v/>
      </c>
      <c r="N104" s="17" t="str">
        <f>IFERROR(IF(I104="","",VLOOKUP(I104,Normtijden_Config!$A$4:$S$55,11,FALSE())),"")</f>
        <v/>
      </c>
      <c r="O104" s="15"/>
      <c r="P104" s="15"/>
      <c r="Q104" s="39"/>
      <c r="R104" s="39"/>
      <c r="S104" s="38" t="str">
        <f t="shared" si="50"/>
        <v/>
      </c>
      <c r="T104" s="38" t="str">
        <f t="shared" si="51"/>
        <v/>
      </c>
      <c r="U104" s="38" t="str">
        <f t="shared" ca="1" si="52"/>
        <v/>
      </c>
      <c r="V104" s="38">
        <f t="shared" ca="1" si="53"/>
        <v>0</v>
      </c>
      <c r="W104" s="18" t="str">
        <f t="shared" ca="1" si="54"/>
        <v>n.v.t.</v>
      </c>
      <c r="X104" s="17" t="str">
        <f t="shared" ca="1" si="55"/>
        <v>ONBEKEND</v>
      </c>
      <c r="Y104" s="17" t="b">
        <f t="shared" ca="1" si="56"/>
        <v>0</v>
      </c>
      <c r="Z104" s="17" t="b">
        <f t="shared" si="57"/>
        <v>0</v>
      </c>
      <c r="AA104" s="17" t="b">
        <f t="shared" ca="1" si="58"/>
        <v>0</v>
      </c>
      <c r="AB104" s="20" t="str">
        <f t="shared" ca="1" si="59"/>
        <v/>
      </c>
      <c r="AC104" s="15"/>
      <c r="AD104" s="15"/>
      <c r="AE104" s="21"/>
      <c r="AF104" s="22"/>
    </row>
    <row r="105" spans="1:32" ht="15" customHeight="1" x14ac:dyDescent="0.3">
      <c r="A105" s="15"/>
      <c r="B105" s="17" t="str">
        <f t="shared" si="45"/>
        <v/>
      </c>
      <c r="C105" s="38" t="str">
        <f t="shared" si="46"/>
        <v/>
      </c>
      <c r="D105" s="17" t="str">
        <f t="shared" si="47"/>
        <v/>
      </c>
      <c r="E105" s="17" t="str">
        <f t="shared" si="48"/>
        <v/>
      </c>
      <c r="F105" s="15"/>
      <c r="G105" s="15"/>
      <c r="H105" s="15"/>
      <c r="I105" s="17" t="str">
        <f t="shared" si="49"/>
        <v/>
      </c>
      <c r="J105" s="18" t="str">
        <f>IFERROR(IF(I105="","",VLOOKUP(I105,Normtijden_Config!$A$4:$S$55,7,FALSE())),"")</f>
        <v/>
      </c>
      <c r="K105" s="17" t="str">
        <f>IFERROR(IF(I105="","",VLOOKUP(I105,Normtijden_Config!$A$4:$S$55,8,FALSE())),"")</f>
        <v/>
      </c>
      <c r="L105" s="18" t="str">
        <f>IF(I105="","",IFERROR(  IF(VLOOKUP(I105,Normtijden_Config!$A$4:$S$55,9,FALSE())&lt;&gt;"",     VLOOKUP(I105,Normtijden_Config!$A$4:$S$55,9,FALSE()),     IFERROR(-INDEX(tbl_Offsets_Wd,MATCH(K105&amp;"|"&amp;D105&amp;"|"&amp;E105,tbl_Offsets_Key,0)),"")),""))</f>
        <v/>
      </c>
      <c r="M105" s="17" t="str">
        <f>IFERROR(IF(I105="","",VLOOKUP(I105,Normtijden_Config!$A$4:$S$55,10,FALSE())),"")</f>
        <v/>
      </c>
      <c r="N105" s="17" t="str">
        <f>IFERROR(IF(I105="","",VLOOKUP(I105,Normtijden_Config!$A$4:$S$55,11,FALSE())),"")</f>
        <v/>
      </c>
      <c r="O105" s="15"/>
      <c r="P105" s="15"/>
      <c r="Q105" s="39"/>
      <c r="R105" s="39"/>
      <c r="S105" s="38" t="str">
        <f t="shared" si="50"/>
        <v/>
      </c>
      <c r="T105" s="38" t="str">
        <f t="shared" si="51"/>
        <v/>
      </c>
      <c r="U105" s="38" t="str">
        <f t="shared" ca="1" si="52"/>
        <v/>
      </c>
      <c r="V105" s="38">
        <f t="shared" ca="1" si="53"/>
        <v>0</v>
      </c>
      <c r="W105" s="18" t="str">
        <f t="shared" ca="1" si="54"/>
        <v>n.v.t.</v>
      </c>
      <c r="X105" s="17" t="str">
        <f t="shared" ca="1" si="55"/>
        <v>ONBEKEND</v>
      </c>
      <c r="Y105" s="17" t="b">
        <f t="shared" ca="1" si="56"/>
        <v>0</v>
      </c>
      <c r="Z105" s="17" t="b">
        <f t="shared" si="57"/>
        <v>0</v>
      </c>
      <c r="AA105" s="17" t="b">
        <f t="shared" ca="1" si="58"/>
        <v>0</v>
      </c>
      <c r="AB105" s="20" t="str">
        <f t="shared" ca="1" si="59"/>
        <v/>
      </c>
      <c r="AC105" s="15"/>
      <c r="AD105" s="15"/>
      <c r="AE105" s="21"/>
      <c r="AF105" s="22"/>
    </row>
    <row r="106" spans="1:32" ht="15" customHeight="1" x14ac:dyDescent="0.3">
      <c r="A106" s="15"/>
      <c r="B106" s="17" t="str">
        <f t="shared" si="45"/>
        <v/>
      </c>
      <c r="C106" s="38" t="str">
        <f t="shared" si="46"/>
        <v/>
      </c>
      <c r="D106" s="17" t="str">
        <f t="shared" si="47"/>
        <v/>
      </c>
      <c r="E106" s="17" t="str">
        <f t="shared" si="48"/>
        <v/>
      </c>
      <c r="F106" s="15"/>
      <c r="G106" s="15"/>
      <c r="H106" s="15"/>
      <c r="I106" s="17" t="str">
        <f t="shared" si="49"/>
        <v/>
      </c>
      <c r="J106" s="18" t="str">
        <f>IFERROR(IF(I106="","",VLOOKUP(I106,Normtijden_Config!$A$4:$S$55,7,FALSE())),"")</f>
        <v/>
      </c>
      <c r="K106" s="17" t="str">
        <f>IFERROR(IF(I106="","",VLOOKUP(I106,Normtijden_Config!$A$4:$S$55,8,FALSE())),"")</f>
        <v/>
      </c>
      <c r="L106" s="18" t="str">
        <f>IF(I106="","",IFERROR(  IF(VLOOKUP(I106,Normtijden_Config!$A$4:$S$55,9,FALSE())&lt;&gt;"",     VLOOKUP(I106,Normtijden_Config!$A$4:$S$55,9,FALSE()),     IFERROR(-INDEX(tbl_Offsets_Wd,MATCH(K106&amp;"|"&amp;D106&amp;"|"&amp;E106,tbl_Offsets_Key,0)),"")),""))</f>
        <v/>
      </c>
      <c r="M106" s="17" t="str">
        <f>IFERROR(IF(I106="","",VLOOKUP(I106,Normtijden_Config!$A$4:$S$55,10,FALSE())),"")</f>
        <v/>
      </c>
      <c r="N106" s="17" t="str">
        <f>IFERROR(IF(I106="","",VLOOKUP(I106,Normtijden_Config!$A$4:$S$55,11,FALSE())),"")</f>
        <v/>
      </c>
      <c r="O106" s="15"/>
      <c r="P106" s="15"/>
      <c r="Q106" s="39"/>
      <c r="R106" s="39"/>
      <c r="S106" s="38" t="str">
        <f t="shared" si="50"/>
        <v/>
      </c>
      <c r="T106" s="38" t="str">
        <f t="shared" si="51"/>
        <v/>
      </c>
      <c r="U106" s="38" t="str">
        <f t="shared" ca="1" si="52"/>
        <v/>
      </c>
      <c r="V106" s="38">
        <f t="shared" ca="1" si="53"/>
        <v>0</v>
      </c>
      <c r="W106" s="18" t="str">
        <f t="shared" ca="1" si="54"/>
        <v>n.v.t.</v>
      </c>
      <c r="X106" s="17" t="str">
        <f t="shared" ca="1" si="55"/>
        <v>ONBEKEND</v>
      </c>
      <c r="Y106" s="17" t="b">
        <f t="shared" ca="1" si="56"/>
        <v>0</v>
      </c>
      <c r="Z106" s="17" t="b">
        <f t="shared" si="57"/>
        <v>0</v>
      </c>
      <c r="AA106" s="17" t="b">
        <f t="shared" ca="1" si="58"/>
        <v>0</v>
      </c>
      <c r="AB106" s="20" t="str">
        <f t="shared" ca="1" si="59"/>
        <v/>
      </c>
      <c r="AC106" s="15"/>
      <c r="AD106" s="15"/>
      <c r="AE106" s="21"/>
      <c r="AF106" s="22"/>
    </row>
    <row r="107" spans="1:32" ht="15" customHeight="1" x14ac:dyDescent="0.3">
      <c r="A107" s="15"/>
      <c r="B107" s="17" t="str">
        <f t="shared" si="45"/>
        <v/>
      </c>
      <c r="C107" s="38" t="str">
        <f t="shared" si="46"/>
        <v/>
      </c>
      <c r="D107" s="17" t="str">
        <f t="shared" si="47"/>
        <v/>
      </c>
      <c r="E107" s="17" t="str">
        <f t="shared" si="48"/>
        <v/>
      </c>
      <c r="F107" s="15"/>
      <c r="G107" s="15"/>
      <c r="H107" s="15"/>
      <c r="I107" s="17" t="str">
        <f t="shared" si="49"/>
        <v/>
      </c>
      <c r="J107" s="18" t="str">
        <f>IFERROR(IF(I107="","",VLOOKUP(I107,Normtijden_Config!$A$4:$S$55,7,FALSE())),"")</f>
        <v/>
      </c>
      <c r="K107" s="17" t="str">
        <f>IFERROR(IF(I107="","",VLOOKUP(I107,Normtijden_Config!$A$4:$S$55,8,FALSE())),"")</f>
        <v/>
      </c>
      <c r="L107" s="18" t="str">
        <f>IF(I107="","",IFERROR(  IF(VLOOKUP(I107,Normtijden_Config!$A$4:$S$55,9,FALSE())&lt;&gt;"",     VLOOKUP(I107,Normtijden_Config!$A$4:$S$55,9,FALSE()),     IFERROR(-INDEX(tbl_Offsets_Wd,MATCH(K107&amp;"|"&amp;D107&amp;"|"&amp;E107,tbl_Offsets_Key,0)),"")),""))</f>
        <v/>
      </c>
      <c r="M107" s="17" t="str">
        <f>IFERROR(IF(I107="","",VLOOKUP(I107,Normtijden_Config!$A$4:$S$55,10,FALSE())),"")</f>
        <v/>
      </c>
      <c r="N107" s="17" t="str">
        <f>IFERROR(IF(I107="","",VLOOKUP(I107,Normtijden_Config!$A$4:$S$55,11,FALSE())),"")</f>
        <v/>
      </c>
      <c r="O107" s="15"/>
      <c r="P107" s="15"/>
      <c r="Q107" s="39"/>
      <c r="R107" s="39"/>
      <c r="S107" s="38" t="str">
        <f t="shared" si="50"/>
        <v/>
      </c>
      <c r="T107" s="38" t="str">
        <f t="shared" si="51"/>
        <v/>
      </c>
      <c r="U107" s="38" t="str">
        <f t="shared" ca="1" si="52"/>
        <v/>
      </c>
      <c r="V107" s="38">
        <f t="shared" ca="1" si="53"/>
        <v>0</v>
      </c>
      <c r="W107" s="18" t="str">
        <f t="shared" ca="1" si="54"/>
        <v>n.v.t.</v>
      </c>
      <c r="X107" s="17" t="str">
        <f t="shared" ca="1" si="55"/>
        <v>ONBEKEND</v>
      </c>
      <c r="Y107" s="17" t="b">
        <f t="shared" ca="1" si="56"/>
        <v>0</v>
      </c>
      <c r="Z107" s="17" t="b">
        <f t="shared" si="57"/>
        <v>0</v>
      </c>
      <c r="AA107" s="17" t="b">
        <f t="shared" ca="1" si="58"/>
        <v>0</v>
      </c>
      <c r="AB107" s="20" t="str">
        <f t="shared" ca="1" si="59"/>
        <v/>
      </c>
      <c r="AC107" s="15"/>
      <c r="AD107" s="15"/>
      <c r="AE107" s="21"/>
      <c r="AF107" s="22"/>
    </row>
    <row r="108" spans="1:32" ht="15" customHeight="1" x14ac:dyDescent="0.3">
      <c r="A108" s="15"/>
      <c r="B108" s="17" t="str">
        <f t="shared" si="45"/>
        <v/>
      </c>
      <c r="C108" s="38" t="str">
        <f t="shared" si="46"/>
        <v/>
      </c>
      <c r="D108" s="17" t="str">
        <f t="shared" si="47"/>
        <v/>
      </c>
      <c r="E108" s="17" t="str">
        <f t="shared" si="48"/>
        <v/>
      </c>
      <c r="F108" s="15"/>
      <c r="G108" s="15"/>
      <c r="H108" s="15"/>
      <c r="I108" s="17" t="str">
        <f t="shared" si="49"/>
        <v/>
      </c>
      <c r="J108" s="18" t="str">
        <f>IFERROR(IF(I108="","",VLOOKUP(I108,Normtijden_Config!$A$4:$S$55,7,FALSE())),"")</f>
        <v/>
      </c>
      <c r="K108" s="17" t="str">
        <f>IFERROR(IF(I108="","",VLOOKUP(I108,Normtijden_Config!$A$4:$S$55,8,FALSE())),"")</f>
        <v/>
      </c>
      <c r="L108" s="18" t="str">
        <f>IF(I108="","",IFERROR(  IF(VLOOKUP(I108,Normtijden_Config!$A$4:$S$55,9,FALSE())&lt;&gt;"",     VLOOKUP(I108,Normtijden_Config!$A$4:$S$55,9,FALSE()),     IFERROR(-INDEX(tbl_Offsets_Wd,MATCH(K108&amp;"|"&amp;D108&amp;"|"&amp;E108,tbl_Offsets_Key,0)),"")),""))</f>
        <v/>
      </c>
      <c r="M108" s="17" t="str">
        <f>IFERROR(IF(I108="","",VLOOKUP(I108,Normtijden_Config!$A$4:$S$55,10,FALSE())),"")</f>
        <v/>
      </c>
      <c r="N108" s="17" t="str">
        <f>IFERROR(IF(I108="","",VLOOKUP(I108,Normtijden_Config!$A$4:$S$55,11,FALSE())),"")</f>
        <v/>
      </c>
      <c r="O108" s="15"/>
      <c r="P108" s="15"/>
      <c r="Q108" s="39"/>
      <c r="R108" s="39"/>
      <c r="S108" s="38" t="str">
        <f t="shared" si="50"/>
        <v/>
      </c>
      <c r="T108" s="38" t="str">
        <f t="shared" si="51"/>
        <v/>
      </c>
      <c r="U108" s="38" t="str">
        <f t="shared" ca="1" si="52"/>
        <v/>
      </c>
      <c r="V108" s="38">
        <f t="shared" ca="1" si="53"/>
        <v>0</v>
      </c>
      <c r="W108" s="18" t="str">
        <f t="shared" ca="1" si="54"/>
        <v>n.v.t.</v>
      </c>
      <c r="X108" s="17" t="str">
        <f t="shared" ca="1" si="55"/>
        <v>ONBEKEND</v>
      </c>
      <c r="Y108" s="17" t="b">
        <f t="shared" ca="1" si="56"/>
        <v>0</v>
      </c>
      <c r="Z108" s="17" t="b">
        <f t="shared" si="57"/>
        <v>0</v>
      </c>
      <c r="AA108" s="17" t="b">
        <f t="shared" ca="1" si="58"/>
        <v>0</v>
      </c>
      <c r="AB108" s="20" t="str">
        <f t="shared" ca="1" si="59"/>
        <v/>
      </c>
      <c r="AC108" s="15"/>
      <c r="AD108" s="15"/>
      <c r="AE108" s="21"/>
      <c r="AF108" s="22"/>
    </row>
    <row r="109" spans="1:32" ht="15" customHeight="1" x14ac:dyDescent="0.3">
      <c r="A109" s="15"/>
      <c r="B109" s="17" t="str">
        <f t="shared" si="45"/>
        <v/>
      </c>
      <c r="C109" s="38" t="str">
        <f t="shared" si="46"/>
        <v/>
      </c>
      <c r="D109" s="17" t="str">
        <f t="shared" si="47"/>
        <v/>
      </c>
      <c r="E109" s="17" t="str">
        <f t="shared" si="48"/>
        <v/>
      </c>
      <c r="F109" s="15"/>
      <c r="G109" s="15"/>
      <c r="H109" s="15"/>
      <c r="I109" s="17" t="str">
        <f t="shared" si="49"/>
        <v/>
      </c>
      <c r="J109" s="18" t="str">
        <f>IFERROR(IF(I109="","",VLOOKUP(I109,Normtijden_Config!$A$4:$S$55,7,FALSE())),"")</f>
        <v/>
      </c>
      <c r="K109" s="17" t="str">
        <f>IFERROR(IF(I109="","",VLOOKUP(I109,Normtijden_Config!$A$4:$S$55,8,FALSE())),"")</f>
        <v/>
      </c>
      <c r="L109" s="18" t="str">
        <f>IF(I109="","",IFERROR(  IF(VLOOKUP(I109,Normtijden_Config!$A$4:$S$55,9,FALSE())&lt;&gt;"",     VLOOKUP(I109,Normtijden_Config!$A$4:$S$55,9,FALSE()),     IFERROR(-INDEX(tbl_Offsets_Wd,MATCH(K109&amp;"|"&amp;D109&amp;"|"&amp;E109,tbl_Offsets_Key,0)),"")),""))</f>
        <v/>
      </c>
      <c r="M109" s="17" t="str">
        <f>IFERROR(IF(I109="","",VLOOKUP(I109,Normtijden_Config!$A$4:$S$55,10,FALSE())),"")</f>
        <v/>
      </c>
      <c r="N109" s="17" t="str">
        <f>IFERROR(IF(I109="","",VLOOKUP(I109,Normtijden_Config!$A$4:$S$55,11,FALSE())),"")</f>
        <v/>
      </c>
      <c r="O109" s="15"/>
      <c r="P109" s="15"/>
      <c r="Q109" s="39"/>
      <c r="R109" s="39"/>
      <c r="S109" s="38" t="str">
        <f t="shared" si="50"/>
        <v/>
      </c>
      <c r="T109" s="38" t="str">
        <f t="shared" si="51"/>
        <v/>
      </c>
      <c r="U109" s="38" t="str">
        <f t="shared" ca="1" si="52"/>
        <v/>
      </c>
      <c r="V109" s="38">
        <f t="shared" ca="1" si="53"/>
        <v>0</v>
      </c>
      <c r="W109" s="18" t="str">
        <f t="shared" ca="1" si="54"/>
        <v>n.v.t.</v>
      </c>
      <c r="X109" s="17" t="str">
        <f t="shared" ca="1" si="55"/>
        <v>ONBEKEND</v>
      </c>
      <c r="Y109" s="17" t="b">
        <f t="shared" ca="1" si="56"/>
        <v>0</v>
      </c>
      <c r="Z109" s="17" t="b">
        <f t="shared" si="57"/>
        <v>0</v>
      </c>
      <c r="AA109" s="17" t="b">
        <f t="shared" ca="1" si="58"/>
        <v>0</v>
      </c>
      <c r="AB109" s="20" t="str">
        <f t="shared" ca="1" si="59"/>
        <v/>
      </c>
      <c r="AC109" s="15"/>
      <c r="AD109" s="15"/>
      <c r="AE109" s="21"/>
      <c r="AF109" s="22"/>
    </row>
    <row r="110" spans="1:32" ht="15" customHeight="1" x14ac:dyDescent="0.3">
      <c r="A110" s="15"/>
      <c r="B110" s="17" t="str">
        <f t="shared" si="45"/>
        <v/>
      </c>
      <c r="C110" s="38" t="str">
        <f t="shared" si="46"/>
        <v/>
      </c>
      <c r="D110" s="17" t="str">
        <f t="shared" si="47"/>
        <v/>
      </c>
      <c r="E110" s="17" t="str">
        <f t="shared" si="48"/>
        <v/>
      </c>
      <c r="F110" s="15"/>
      <c r="G110" s="15"/>
      <c r="H110" s="15"/>
      <c r="I110" s="17" t="str">
        <f t="shared" si="49"/>
        <v/>
      </c>
      <c r="J110" s="18" t="str">
        <f>IFERROR(IF(I110="","",VLOOKUP(I110,Normtijden_Config!$A$4:$S$55,7,FALSE())),"")</f>
        <v/>
      </c>
      <c r="K110" s="17" t="str">
        <f>IFERROR(IF(I110="","",VLOOKUP(I110,Normtijden_Config!$A$4:$S$55,8,FALSE())),"")</f>
        <v/>
      </c>
      <c r="L110" s="18" t="str">
        <f>IF(I110="","",IFERROR(  IF(VLOOKUP(I110,Normtijden_Config!$A$4:$S$55,9,FALSE())&lt;&gt;"",     VLOOKUP(I110,Normtijden_Config!$A$4:$S$55,9,FALSE()),     IFERROR(-INDEX(tbl_Offsets_Wd,MATCH(K110&amp;"|"&amp;D110&amp;"|"&amp;E110,tbl_Offsets_Key,0)),"")),""))</f>
        <v/>
      </c>
      <c r="M110" s="17" t="str">
        <f>IFERROR(IF(I110="","",VLOOKUP(I110,Normtijden_Config!$A$4:$S$55,10,FALSE())),"")</f>
        <v/>
      </c>
      <c r="N110" s="17" t="str">
        <f>IFERROR(IF(I110="","",VLOOKUP(I110,Normtijden_Config!$A$4:$S$55,11,FALSE())),"")</f>
        <v/>
      </c>
      <c r="O110" s="15"/>
      <c r="P110" s="15"/>
      <c r="Q110" s="39"/>
      <c r="R110" s="39"/>
      <c r="S110" s="38" t="str">
        <f t="shared" si="50"/>
        <v/>
      </c>
      <c r="T110" s="38" t="str">
        <f t="shared" si="51"/>
        <v/>
      </c>
      <c r="U110" s="38" t="str">
        <f t="shared" ca="1" si="52"/>
        <v/>
      </c>
      <c r="V110" s="38">
        <f t="shared" ca="1" si="53"/>
        <v>0</v>
      </c>
      <c r="W110" s="18" t="str">
        <f t="shared" ca="1" si="54"/>
        <v>n.v.t.</v>
      </c>
      <c r="X110" s="17" t="str">
        <f t="shared" ca="1" si="55"/>
        <v>ONBEKEND</v>
      </c>
      <c r="Y110" s="17" t="b">
        <f t="shared" ca="1" si="56"/>
        <v>0</v>
      </c>
      <c r="Z110" s="17" t="b">
        <f t="shared" si="57"/>
        <v>0</v>
      </c>
      <c r="AA110" s="17" t="b">
        <f t="shared" ca="1" si="58"/>
        <v>0</v>
      </c>
      <c r="AB110" s="20" t="str">
        <f t="shared" ca="1" si="59"/>
        <v/>
      </c>
      <c r="AC110" s="15"/>
      <c r="AD110" s="15"/>
      <c r="AE110" s="21"/>
      <c r="AF110" s="22"/>
    </row>
    <row r="111" spans="1:32" ht="15" customHeight="1" x14ac:dyDescent="0.3">
      <c r="A111" s="15"/>
      <c r="B111" s="17" t="str">
        <f t="shared" si="45"/>
        <v/>
      </c>
      <c r="C111" s="38" t="str">
        <f t="shared" si="46"/>
        <v/>
      </c>
      <c r="D111" s="17" t="str">
        <f t="shared" si="47"/>
        <v/>
      </c>
      <c r="E111" s="17" t="str">
        <f t="shared" si="48"/>
        <v/>
      </c>
      <c r="F111" s="15"/>
      <c r="G111" s="15"/>
      <c r="H111" s="15"/>
      <c r="I111" s="17" t="str">
        <f t="shared" si="49"/>
        <v/>
      </c>
      <c r="J111" s="18" t="str">
        <f>IFERROR(IF(I111="","",VLOOKUP(I111,Normtijden_Config!$A$4:$S$55,7,FALSE())),"")</f>
        <v/>
      </c>
      <c r="K111" s="17" t="str">
        <f>IFERROR(IF(I111="","",VLOOKUP(I111,Normtijden_Config!$A$4:$S$55,8,FALSE())),"")</f>
        <v/>
      </c>
      <c r="L111" s="18" t="str">
        <f>IF(I111="","",IFERROR(  IF(VLOOKUP(I111,Normtijden_Config!$A$4:$S$55,9,FALSE())&lt;&gt;"",     VLOOKUP(I111,Normtijden_Config!$A$4:$S$55,9,FALSE()),     IFERROR(-INDEX(tbl_Offsets_Wd,MATCH(K111&amp;"|"&amp;D111&amp;"|"&amp;E111,tbl_Offsets_Key,0)),"")),""))</f>
        <v/>
      </c>
      <c r="M111" s="17" t="str">
        <f>IFERROR(IF(I111="","",VLOOKUP(I111,Normtijden_Config!$A$4:$S$55,10,FALSE())),"")</f>
        <v/>
      </c>
      <c r="N111" s="17" t="str">
        <f>IFERROR(IF(I111="","",VLOOKUP(I111,Normtijden_Config!$A$4:$S$55,11,FALSE())),"")</f>
        <v/>
      </c>
      <c r="O111" s="15"/>
      <c r="P111" s="15"/>
      <c r="Q111" s="39"/>
      <c r="R111" s="39"/>
      <c r="S111" s="38" t="str">
        <f t="shared" si="50"/>
        <v/>
      </c>
      <c r="T111" s="38" t="str">
        <f t="shared" si="51"/>
        <v/>
      </c>
      <c r="U111" s="38" t="str">
        <f t="shared" ca="1" si="52"/>
        <v/>
      </c>
      <c r="V111" s="38">
        <f t="shared" ca="1" si="53"/>
        <v>0</v>
      </c>
      <c r="W111" s="18" t="str">
        <f t="shared" ca="1" si="54"/>
        <v>n.v.t.</v>
      </c>
      <c r="X111" s="17" t="str">
        <f t="shared" ca="1" si="55"/>
        <v>ONBEKEND</v>
      </c>
      <c r="Y111" s="17" t="b">
        <f t="shared" ca="1" si="56"/>
        <v>0</v>
      </c>
      <c r="Z111" s="17" t="b">
        <f t="shared" si="57"/>
        <v>0</v>
      </c>
      <c r="AA111" s="17" t="b">
        <f t="shared" ca="1" si="58"/>
        <v>0</v>
      </c>
      <c r="AB111" s="20" t="str">
        <f t="shared" ca="1" si="59"/>
        <v/>
      </c>
      <c r="AC111" s="15"/>
      <c r="AD111" s="15"/>
      <c r="AE111" s="21"/>
      <c r="AF111" s="22"/>
    </row>
    <row r="112" spans="1:32" ht="15" customHeight="1" x14ac:dyDescent="0.3">
      <c r="A112" s="15"/>
      <c r="B112" s="17" t="str">
        <f t="shared" si="45"/>
        <v/>
      </c>
      <c r="C112" s="38" t="str">
        <f t="shared" si="46"/>
        <v/>
      </c>
      <c r="D112" s="17" t="str">
        <f t="shared" si="47"/>
        <v/>
      </c>
      <c r="E112" s="17" t="str">
        <f t="shared" si="48"/>
        <v/>
      </c>
      <c r="F112" s="15"/>
      <c r="G112" s="15"/>
      <c r="H112" s="15"/>
      <c r="I112" s="17" t="str">
        <f t="shared" si="49"/>
        <v/>
      </c>
      <c r="J112" s="18" t="str">
        <f>IFERROR(IF(I112="","",VLOOKUP(I112,Normtijden_Config!$A$4:$S$55,7,FALSE())),"")</f>
        <v/>
      </c>
      <c r="K112" s="17" t="str">
        <f>IFERROR(IF(I112="","",VLOOKUP(I112,Normtijden_Config!$A$4:$S$55,8,FALSE())),"")</f>
        <v/>
      </c>
      <c r="L112" s="18" t="str">
        <f>IF(I112="","",IFERROR(  IF(VLOOKUP(I112,Normtijden_Config!$A$4:$S$55,9,FALSE())&lt;&gt;"",     VLOOKUP(I112,Normtijden_Config!$A$4:$S$55,9,FALSE()),     IFERROR(-INDEX(tbl_Offsets_Wd,MATCH(K112&amp;"|"&amp;D112&amp;"|"&amp;E112,tbl_Offsets_Key,0)),"")),""))</f>
        <v/>
      </c>
      <c r="M112" s="17" t="str">
        <f>IFERROR(IF(I112="","",VLOOKUP(I112,Normtijden_Config!$A$4:$S$55,10,FALSE())),"")</f>
        <v/>
      </c>
      <c r="N112" s="17" t="str">
        <f>IFERROR(IF(I112="","",VLOOKUP(I112,Normtijden_Config!$A$4:$S$55,11,FALSE())),"")</f>
        <v/>
      </c>
      <c r="O112" s="15"/>
      <c r="P112" s="15"/>
      <c r="Q112" s="39"/>
      <c r="R112" s="39"/>
      <c r="S112" s="38" t="str">
        <f t="shared" si="50"/>
        <v/>
      </c>
      <c r="T112" s="38" t="str">
        <f t="shared" si="51"/>
        <v/>
      </c>
      <c r="U112" s="38" t="str">
        <f t="shared" ca="1" si="52"/>
        <v/>
      </c>
      <c r="V112" s="38">
        <f t="shared" ca="1" si="53"/>
        <v>0</v>
      </c>
      <c r="W112" s="18" t="str">
        <f t="shared" ca="1" si="54"/>
        <v>n.v.t.</v>
      </c>
      <c r="X112" s="17" t="str">
        <f t="shared" ca="1" si="55"/>
        <v>ONBEKEND</v>
      </c>
      <c r="Y112" s="17" t="b">
        <f t="shared" ca="1" si="56"/>
        <v>0</v>
      </c>
      <c r="Z112" s="17" t="b">
        <f t="shared" si="57"/>
        <v>0</v>
      </c>
      <c r="AA112" s="17" t="b">
        <f t="shared" ca="1" si="58"/>
        <v>0</v>
      </c>
      <c r="AB112" s="20" t="str">
        <f t="shared" ca="1" si="59"/>
        <v/>
      </c>
      <c r="AC112" s="15"/>
      <c r="AD112" s="15"/>
      <c r="AE112" s="21"/>
      <c r="AF112" s="22"/>
    </row>
    <row r="113" spans="1:32" ht="15" customHeight="1" x14ac:dyDescent="0.3">
      <c r="A113" s="15"/>
      <c r="B113" s="17" t="str">
        <f t="shared" si="45"/>
        <v/>
      </c>
      <c r="C113" s="38" t="str">
        <f t="shared" si="46"/>
        <v/>
      </c>
      <c r="D113" s="17" t="str">
        <f t="shared" si="47"/>
        <v/>
      </c>
      <c r="E113" s="17" t="str">
        <f t="shared" si="48"/>
        <v/>
      </c>
      <c r="F113" s="15"/>
      <c r="G113" s="15"/>
      <c r="H113" s="15"/>
      <c r="I113" s="17" t="str">
        <f t="shared" si="49"/>
        <v/>
      </c>
      <c r="J113" s="18" t="str">
        <f>IFERROR(IF(I113="","",VLOOKUP(I113,Normtijden_Config!$A$4:$S$55,7,FALSE())),"")</f>
        <v/>
      </c>
      <c r="K113" s="17" t="str">
        <f>IFERROR(IF(I113="","",VLOOKUP(I113,Normtijden_Config!$A$4:$S$55,8,FALSE())),"")</f>
        <v/>
      </c>
      <c r="L113" s="18" t="str">
        <f>IF(I113="","",IFERROR(  IF(VLOOKUP(I113,Normtijden_Config!$A$4:$S$55,9,FALSE())&lt;&gt;"",     VLOOKUP(I113,Normtijden_Config!$A$4:$S$55,9,FALSE()),     IFERROR(-INDEX(tbl_Offsets_Wd,MATCH(K113&amp;"|"&amp;D113&amp;"|"&amp;E113,tbl_Offsets_Key,0)),"")),""))</f>
        <v/>
      </c>
      <c r="M113" s="17" t="str">
        <f>IFERROR(IF(I113="","",VLOOKUP(I113,Normtijden_Config!$A$4:$S$55,10,FALSE())),"")</f>
        <v/>
      </c>
      <c r="N113" s="17" t="str">
        <f>IFERROR(IF(I113="","",VLOOKUP(I113,Normtijden_Config!$A$4:$S$55,11,FALSE())),"")</f>
        <v/>
      </c>
      <c r="O113" s="15"/>
      <c r="P113" s="15"/>
      <c r="Q113" s="39"/>
      <c r="R113" s="39"/>
      <c r="S113" s="38" t="str">
        <f t="shared" si="50"/>
        <v/>
      </c>
      <c r="T113" s="38" t="str">
        <f t="shared" si="51"/>
        <v/>
      </c>
      <c r="U113" s="38" t="str">
        <f t="shared" ca="1" si="52"/>
        <v/>
      </c>
      <c r="V113" s="38">
        <f t="shared" ca="1" si="53"/>
        <v>0</v>
      </c>
      <c r="W113" s="18" t="str">
        <f t="shared" ca="1" si="54"/>
        <v>n.v.t.</v>
      </c>
      <c r="X113" s="17" t="str">
        <f t="shared" ca="1" si="55"/>
        <v>ONBEKEND</v>
      </c>
      <c r="Y113" s="17" t="b">
        <f t="shared" ca="1" si="56"/>
        <v>0</v>
      </c>
      <c r="Z113" s="17" t="b">
        <f t="shared" si="57"/>
        <v>0</v>
      </c>
      <c r="AA113" s="17" t="b">
        <f t="shared" ca="1" si="58"/>
        <v>0</v>
      </c>
      <c r="AB113" s="20" t="str">
        <f t="shared" ca="1" si="59"/>
        <v/>
      </c>
      <c r="AC113" s="15"/>
      <c r="AD113" s="15"/>
      <c r="AE113" s="21"/>
      <c r="AF113" s="22"/>
    </row>
    <row r="114" spans="1:32" ht="15" customHeight="1" x14ac:dyDescent="0.3">
      <c r="A114" s="15"/>
      <c r="B114" s="17" t="str">
        <f t="shared" si="45"/>
        <v/>
      </c>
      <c r="C114" s="38" t="str">
        <f t="shared" si="46"/>
        <v/>
      </c>
      <c r="D114" s="17" t="str">
        <f t="shared" si="47"/>
        <v/>
      </c>
      <c r="E114" s="17" t="str">
        <f t="shared" si="48"/>
        <v/>
      </c>
      <c r="F114" s="15"/>
      <c r="G114" s="15"/>
      <c r="H114" s="15"/>
      <c r="I114" s="17" t="str">
        <f t="shared" si="49"/>
        <v/>
      </c>
      <c r="J114" s="18" t="str">
        <f>IFERROR(IF(I114="","",VLOOKUP(I114,Normtijden_Config!$A$4:$S$55,7,FALSE())),"")</f>
        <v/>
      </c>
      <c r="K114" s="17" t="str">
        <f>IFERROR(IF(I114="","",VLOOKUP(I114,Normtijden_Config!$A$4:$S$55,8,FALSE())),"")</f>
        <v/>
      </c>
      <c r="L114" s="18" t="str">
        <f>IF(I114="","",IFERROR(  IF(VLOOKUP(I114,Normtijden_Config!$A$4:$S$55,9,FALSE())&lt;&gt;"",     VLOOKUP(I114,Normtijden_Config!$A$4:$S$55,9,FALSE()),     IFERROR(-INDEX(tbl_Offsets_Wd,MATCH(K114&amp;"|"&amp;D114&amp;"|"&amp;E114,tbl_Offsets_Key,0)),"")),""))</f>
        <v/>
      </c>
      <c r="M114" s="17" t="str">
        <f>IFERROR(IF(I114="","",VLOOKUP(I114,Normtijden_Config!$A$4:$S$55,10,FALSE())),"")</f>
        <v/>
      </c>
      <c r="N114" s="17" t="str">
        <f>IFERROR(IF(I114="","",VLOOKUP(I114,Normtijden_Config!$A$4:$S$55,11,FALSE())),"")</f>
        <v/>
      </c>
      <c r="O114" s="15"/>
      <c r="P114" s="15"/>
      <c r="Q114" s="39"/>
      <c r="R114" s="39"/>
      <c r="S114" s="38" t="str">
        <f t="shared" si="50"/>
        <v/>
      </c>
      <c r="T114" s="38" t="str">
        <f t="shared" si="51"/>
        <v/>
      </c>
      <c r="U114" s="38" t="str">
        <f t="shared" ca="1" si="52"/>
        <v/>
      </c>
      <c r="V114" s="38">
        <f t="shared" ca="1" si="53"/>
        <v>0</v>
      </c>
      <c r="W114" s="18" t="str">
        <f t="shared" ca="1" si="54"/>
        <v>n.v.t.</v>
      </c>
      <c r="X114" s="17" t="str">
        <f t="shared" ca="1" si="55"/>
        <v>ONBEKEND</v>
      </c>
      <c r="Y114" s="17" t="b">
        <f t="shared" ca="1" si="56"/>
        <v>0</v>
      </c>
      <c r="Z114" s="17" t="b">
        <f t="shared" si="57"/>
        <v>0</v>
      </c>
      <c r="AA114" s="17" t="b">
        <f t="shared" ca="1" si="58"/>
        <v>0</v>
      </c>
      <c r="AB114" s="20" t="str">
        <f t="shared" ca="1" si="59"/>
        <v/>
      </c>
      <c r="AC114" s="15"/>
      <c r="AD114" s="15"/>
      <c r="AE114" s="21"/>
      <c r="AF114" s="22"/>
    </row>
    <row r="115" spans="1:32" ht="15" customHeight="1" x14ac:dyDescent="0.3">
      <c r="A115" s="15"/>
      <c r="B115" s="17" t="str">
        <f t="shared" si="45"/>
        <v/>
      </c>
      <c r="C115" s="38" t="str">
        <f t="shared" si="46"/>
        <v/>
      </c>
      <c r="D115" s="17" t="str">
        <f t="shared" si="47"/>
        <v/>
      </c>
      <c r="E115" s="17" t="str">
        <f t="shared" si="48"/>
        <v/>
      </c>
      <c r="F115" s="15"/>
      <c r="G115" s="15"/>
      <c r="H115" s="15"/>
      <c r="I115" s="17" t="str">
        <f t="shared" si="49"/>
        <v/>
      </c>
      <c r="J115" s="18" t="str">
        <f>IFERROR(IF(I115="","",VLOOKUP(I115,Normtijden_Config!$A$4:$S$55,7,FALSE())),"")</f>
        <v/>
      </c>
      <c r="K115" s="17" t="str">
        <f>IFERROR(IF(I115="","",VLOOKUP(I115,Normtijden_Config!$A$4:$S$55,8,FALSE())),"")</f>
        <v/>
      </c>
      <c r="L115" s="18" t="str">
        <f>IF(I115="","",IFERROR(  IF(VLOOKUP(I115,Normtijden_Config!$A$4:$S$55,9,FALSE())&lt;&gt;"",     VLOOKUP(I115,Normtijden_Config!$A$4:$S$55,9,FALSE()),     IFERROR(-INDEX(tbl_Offsets_Wd,MATCH(K115&amp;"|"&amp;D115&amp;"|"&amp;E115,tbl_Offsets_Key,0)),"")),""))</f>
        <v/>
      </c>
      <c r="M115" s="17" t="str">
        <f>IFERROR(IF(I115="","",VLOOKUP(I115,Normtijden_Config!$A$4:$S$55,10,FALSE())),"")</f>
        <v/>
      </c>
      <c r="N115" s="17" t="str">
        <f>IFERROR(IF(I115="","",VLOOKUP(I115,Normtijden_Config!$A$4:$S$55,11,FALSE())),"")</f>
        <v/>
      </c>
      <c r="O115" s="15"/>
      <c r="P115" s="15"/>
      <c r="Q115" s="39"/>
      <c r="R115" s="39"/>
      <c r="S115" s="38" t="str">
        <f t="shared" si="50"/>
        <v/>
      </c>
      <c r="T115" s="38" t="str">
        <f t="shared" si="51"/>
        <v/>
      </c>
      <c r="U115" s="38" t="str">
        <f t="shared" ca="1" si="52"/>
        <v/>
      </c>
      <c r="V115" s="38">
        <f t="shared" ca="1" si="53"/>
        <v>0</v>
      </c>
      <c r="W115" s="18" t="str">
        <f t="shared" ca="1" si="54"/>
        <v>n.v.t.</v>
      </c>
      <c r="X115" s="17" t="str">
        <f t="shared" ca="1" si="55"/>
        <v>ONBEKEND</v>
      </c>
      <c r="Y115" s="17" t="b">
        <f t="shared" ca="1" si="56"/>
        <v>0</v>
      </c>
      <c r="Z115" s="17" t="b">
        <f t="shared" si="57"/>
        <v>0</v>
      </c>
      <c r="AA115" s="17" t="b">
        <f t="shared" ca="1" si="58"/>
        <v>0</v>
      </c>
      <c r="AB115" s="20" t="str">
        <f t="shared" ca="1" si="59"/>
        <v/>
      </c>
      <c r="AC115" s="15"/>
      <c r="AD115" s="15"/>
      <c r="AE115" s="21"/>
      <c r="AF115" s="22"/>
    </row>
    <row r="116" spans="1:32" ht="15" customHeight="1" x14ac:dyDescent="0.3">
      <c r="A116" s="15"/>
      <c r="B116" s="17" t="str">
        <f t="shared" si="45"/>
        <v/>
      </c>
      <c r="C116" s="38" t="str">
        <f t="shared" si="46"/>
        <v/>
      </c>
      <c r="D116" s="17" t="str">
        <f t="shared" si="47"/>
        <v/>
      </c>
      <c r="E116" s="17" t="str">
        <f t="shared" si="48"/>
        <v/>
      </c>
      <c r="F116" s="15"/>
      <c r="G116" s="15"/>
      <c r="H116" s="15"/>
      <c r="I116" s="17" t="str">
        <f t="shared" si="49"/>
        <v/>
      </c>
      <c r="J116" s="18" t="str">
        <f>IFERROR(IF(I116="","",VLOOKUP(I116,Normtijden_Config!$A$4:$S$55,7,FALSE())),"")</f>
        <v/>
      </c>
      <c r="K116" s="17" t="str">
        <f>IFERROR(IF(I116="","",VLOOKUP(I116,Normtijden_Config!$A$4:$S$55,8,FALSE())),"")</f>
        <v/>
      </c>
      <c r="L116" s="18" t="str">
        <f>IF(I116="","",IFERROR(  IF(VLOOKUP(I116,Normtijden_Config!$A$4:$S$55,9,FALSE())&lt;&gt;"",     VLOOKUP(I116,Normtijden_Config!$A$4:$S$55,9,FALSE()),     IFERROR(-INDEX(tbl_Offsets_Wd,MATCH(K116&amp;"|"&amp;D116&amp;"|"&amp;E116,tbl_Offsets_Key,0)),"")),""))</f>
        <v/>
      </c>
      <c r="M116" s="17" t="str">
        <f>IFERROR(IF(I116="","",VLOOKUP(I116,Normtijden_Config!$A$4:$S$55,10,FALSE())),"")</f>
        <v/>
      </c>
      <c r="N116" s="17" t="str">
        <f>IFERROR(IF(I116="","",VLOOKUP(I116,Normtijden_Config!$A$4:$S$55,11,FALSE())),"")</f>
        <v/>
      </c>
      <c r="O116" s="15"/>
      <c r="P116" s="15"/>
      <c r="Q116" s="39"/>
      <c r="R116" s="39"/>
      <c r="S116" s="38" t="str">
        <f t="shared" si="50"/>
        <v/>
      </c>
      <c r="T116" s="38" t="str">
        <f t="shared" si="51"/>
        <v/>
      </c>
      <c r="U116" s="38" t="str">
        <f t="shared" ca="1" si="52"/>
        <v/>
      </c>
      <c r="V116" s="38">
        <f t="shared" ca="1" si="53"/>
        <v>0</v>
      </c>
      <c r="W116" s="18" t="str">
        <f t="shared" ca="1" si="54"/>
        <v>n.v.t.</v>
      </c>
      <c r="X116" s="17" t="str">
        <f t="shared" ca="1" si="55"/>
        <v>ONBEKEND</v>
      </c>
      <c r="Y116" s="17" t="b">
        <f t="shared" ca="1" si="56"/>
        <v>0</v>
      </c>
      <c r="Z116" s="17" t="b">
        <f t="shared" si="57"/>
        <v>0</v>
      </c>
      <c r="AA116" s="17" t="b">
        <f t="shared" ca="1" si="58"/>
        <v>0</v>
      </c>
      <c r="AB116" s="20" t="str">
        <f t="shared" ca="1" si="59"/>
        <v/>
      </c>
      <c r="AC116" s="15"/>
      <c r="AD116" s="15"/>
      <c r="AE116" s="21"/>
      <c r="AF116" s="22"/>
    </row>
    <row r="117" spans="1:32" ht="15" customHeight="1" x14ac:dyDescent="0.3">
      <c r="A117" s="15"/>
      <c r="B117" s="17" t="str">
        <f t="shared" si="45"/>
        <v/>
      </c>
      <c r="C117" s="38" t="str">
        <f t="shared" si="46"/>
        <v/>
      </c>
      <c r="D117" s="17" t="str">
        <f t="shared" si="47"/>
        <v/>
      </c>
      <c r="E117" s="17" t="str">
        <f t="shared" si="48"/>
        <v/>
      </c>
      <c r="F117" s="15"/>
      <c r="G117" s="15"/>
      <c r="H117" s="15"/>
      <c r="I117" s="17" t="str">
        <f t="shared" si="49"/>
        <v/>
      </c>
      <c r="J117" s="18" t="str">
        <f>IFERROR(IF(I117="","",VLOOKUP(I117,Normtijden_Config!$A$4:$S$55,7,FALSE())),"")</f>
        <v/>
      </c>
      <c r="K117" s="17" t="str">
        <f>IFERROR(IF(I117="","",VLOOKUP(I117,Normtijden_Config!$A$4:$S$55,8,FALSE())),"")</f>
        <v/>
      </c>
      <c r="L117" s="18" t="str">
        <f>IF(I117="","",IFERROR(  IF(VLOOKUP(I117,Normtijden_Config!$A$4:$S$55,9,FALSE())&lt;&gt;"",     VLOOKUP(I117,Normtijden_Config!$A$4:$S$55,9,FALSE()),     IFERROR(-INDEX(tbl_Offsets_Wd,MATCH(K117&amp;"|"&amp;D117&amp;"|"&amp;E117,tbl_Offsets_Key,0)),"")),""))</f>
        <v/>
      </c>
      <c r="M117" s="17" t="str">
        <f>IFERROR(IF(I117="","",VLOOKUP(I117,Normtijden_Config!$A$4:$S$55,10,FALSE())),"")</f>
        <v/>
      </c>
      <c r="N117" s="17" t="str">
        <f>IFERROR(IF(I117="","",VLOOKUP(I117,Normtijden_Config!$A$4:$S$55,11,FALSE())),"")</f>
        <v/>
      </c>
      <c r="O117" s="15"/>
      <c r="P117" s="15"/>
      <c r="Q117" s="39"/>
      <c r="R117" s="39"/>
      <c r="S117" s="38" t="str">
        <f t="shared" si="50"/>
        <v/>
      </c>
      <c r="T117" s="38" t="str">
        <f t="shared" si="51"/>
        <v/>
      </c>
      <c r="U117" s="38" t="str">
        <f t="shared" ca="1" si="52"/>
        <v/>
      </c>
      <c r="V117" s="38">
        <f t="shared" ca="1" si="53"/>
        <v>0</v>
      </c>
      <c r="W117" s="18" t="str">
        <f t="shared" ca="1" si="54"/>
        <v>n.v.t.</v>
      </c>
      <c r="X117" s="17" t="str">
        <f t="shared" ca="1" si="55"/>
        <v>ONBEKEND</v>
      </c>
      <c r="Y117" s="17" t="b">
        <f t="shared" ca="1" si="56"/>
        <v>0</v>
      </c>
      <c r="Z117" s="17" t="b">
        <f t="shared" si="57"/>
        <v>0</v>
      </c>
      <c r="AA117" s="17" t="b">
        <f t="shared" ca="1" si="58"/>
        <v>0</v>
      </c>
      <c r="AB117" s="20" t="str">
        <f t="shared" ca="1" si="59"/>
        <v/>
      </c>
      <c r="AC117" s="15"/>
      <c r="AD117" s="15"/>
      <c r="AE117" s="21"/>
      <c r="AF117" s="22"/>
    </row>
    <row r="118" spans="1:32" ht="15" customHeight="1" x14ac:dyDescent="0.3">
      <c r="A118" s="15"/>
      <c r="B118" s="17" t="str">
        <f t="shared" si="45"/>
        <v/>
      </c>
      <c r="C118" s="38" t="str">
        <f t="shared" si="46"/>
        <v/>
      </c>
      <c r="D118" s="17" t="str">
        <f t="shared" si="47"/>
        <v/>
      </c>
      <c r="E118" s="17" t="str">
        <f t="shared" si="48"/>
        <v/>
      </c>
      <c r="F118" s="15"/>
      <c r="G118" s="15"/>
      <c r="H118" s="15"/>
      <c r="I118" s="17" t="str">
        <f t="shared" si="49"/>
        <v/>
      </c>
      <c r="J118" s="18" t="str">
        <f>IFERROR(IF(I118="","",VLOOKUP(I118,Normtijden_Config!$A$4:$S$55,7,FALSE())),"")</f>
        <v/>
      </c>
      <c r="K118" s="17" t="str">
        <f>IFERROR(IF(I118="","",VLOOKUP(I118,Normtijden_Config!$A$4:$S$55,8,FALSE())),"")</f>
        <v/>
      </c>
      <c r="L118" s="18" t="str">
        <f>IF(I118="","",IFERROR(  IF(VLOOKUP(I118,Normtijden_Config!$A$4:$S$55,9,FALSE())&lt;&gt;"",     VLOOKUP(I118,Normtijden_Config!$A$4:$S$55,9,FALSE()),     IFERROR(-INDEX(tbl_Offsets_Wd,MATCH(K118&amp;"|"&amp;D118&amp;"|"&amp;E118,tbl_Offsets_Key,0)),"")),""))</f>
        <v/>
      </c>
      <c r="M118" s="17" t="str">
        <f>IFERROR(IF(I118="","",VLOOKUP(I118,Normtijden_Config!$A$4:$S$55,10,FALSE())),"")</f>
        <v/>
      </c>
      <c r="N118" s="17" t="str">
        <f>IFERROR(IF(I118="","",VLOOKUP(I118,Normtijden_Config!$A$4:$S$55,11,FALSE())),"")</f>
        <v/>
      </c>
      <c r="O118" s="15"/>
      <c r="P118" s="15"/>
      <c r="Q118" s="39"/>
      <c r="R118" s="39"/>
      <c r="S118" s="38" t="str">
        <f t="shared" si="50"/>
        <v/>
      </c>
      <c r="T118" s="38" t="str">
        <f t="shared" si="51"/>
        <v/>
      </c>
      <c r="U118" s="38" t="str">
        <f t="shared" ca="1" si="52"/>
        <v/>
      </c>
      <c r="V118" s="38">
        <f t="shared" ca="1" si="53"/>
        <v>0</v>
      </c>
      <c r="W118" s="18" t="str">
        <f t="shared" ca="1" si="54"/>
        <v>n.v.t.</v>
      </c>
      <c r="X118" s="17" t="str">
        <f t="shared" ca="1" si="55"/>
        <v>ONBEKEND</v>
      </c>
      <c r="Y118" s="17" t="b">
        <f t="shared" ca="1" si="56"/>
        <v>0</v>
      </c>
      <c r="Z118" s="17" t="b">
        <f t="shared" si="57"/>
        <v>0</v>
      </c>
      <c r="AA118" s="17" t="b">
        <f t="shared" ca="1" si="58"/>
        <v>0</v>
      </c>
      <c r="AB118" s="20" t="str">
        <f t="shared" ca="1" si="59"/>
        <v/>
      </c>
      <c r="AC118" s="15"/>
      <c r="AD118" s="15"/>
      <c r="AE118" s="21"/>
      <c r="AF118" s="22"/>
    </row>
    <row r="119" spans="1:32" ht="15" customHeight="1" x14ac:dyDescent="0.3">
      <c r="A119" s="15"/>
      <c r="B119" s="17" t="str">
        <f t="shared" si="45"/>
        <v/>
      </c>
      <c r="C119" s="38" t="str">
        <f t="shared" si="46"/>
        <v/>
      </c>
      <c r="D119" s="17" t="str">
        <f t="shared" si="47"/>
        <v/>
      </c>
      <c r="E119" s="17" t="str">
        <f t="shared" si="48"/>
        <v/>
      </c>
      <c r="F119" s="15"/>
      <c r="G119" s="15"/>
      <c r="H119" s="15"/>
      <c r="I119" s="17" t="str">
        <f t="shared" si="49"/>
        <v/>
      </c>
      <c r="J119" s="18" t="str">
        <f>IFERROR(IF(I119="","",VLOOKUP(I119,Normtijden_Config!$A$4:$S$55,7,FALSE())),"")</f>
        <v/>
      </c>
      <c r="K119" s="17" t="str">
        <f>IFERROR(IF(I119="","",VLOOKUP(I119,Normtijden_Config!$A$4:$S$55,8,FALSE())),"")</f>
        <v/>
      </c>
      <c r="L119" s="18" t="str">
        <f>IF(I119="","",IFERROR(  IF(VLOOKUP(I119,Normtijden_Config!$A$4:$S$55,9,FALSE())&lt;&gt;"",     VLOOKUP(I119,Normtijden_Config!$A$4:$S$55,9,FALSE()),     IFERROR(-INDEX(tbl_Offsets_Wd,MATCH(K119&amp;"|"&amp;D119&amp;"|"&amp;E119,tbl_Offsets_Key,0)),"")),""))</f>
        <v/>
      </c>
      <c r="M119" s="17" t="str">
        <f>IFERROR(IF(I119="","",VLOOKUP(I119,Normtijden_Config!$A$4:$S$55,10,FALSE())),"")</f>
        <v/>
      </c>
      <c r="N119" s="17" t="str">
        <f>IFERROR(IF(I119="","",VLOOKUP(I119,Normtijden_Config!$A$4:$S$55,11,FALSE())),"")</f>
        <v/>
      </c>
      <c r="O119" s="15"/>
      <c r="P119" s="15"/>
      <c r="Q119" s="39"/>
      <c r="R119" s="39"/>
      <c r="S119" s="38" t="str">
        <f t="shared" si="50"/>
        <v/>
      </c>
      <c r="T119" s="38" t="str">
        <f t="shared" si="51"/>
        <v/>
      </c>
      <c r="U119" s="38" t="str">
        <f t="shared" ca="1" si="52"/>
        <v/>
      </c>
      <c r="V119" s="38">
        <f t="shared" ca="1" si="53"/>
        <v>0</v>
      </c>
      <c r="W119" s="18" t="str">
        <f t="shared" ca="1" si="54"/>
        <v>n.v.t.</v>
      </c>
      <c r="X119" s="17" t="str">
        <f t="shared" ca="1" si="55"/>
        <v>ONBEKEND</v>
      </c>
      <c r="Y119" s="17" t="b">
        <f t="shared" ca="1" si="56"/>
        <v>0</v>
      </c>
      <c r="Z119" s="17" t="b">
        <f t="shared" si="57"/>
        <v>0</v>
      </c>
      <c r="AA119" s="17" t="b">
        <f t="shared" ca="1" si="58"/>
        <v>0</v>
      </c>
      <c r="AB119" s="20" t="str">
        <f t="shared" ca="1" si="59"/>
        <v/>
      </c>
      <c r="AC119" s="15"/>
      <c r="AD119" s="15"/>
      <c r="AE119" s="21"/>
      <c r="AF119" s="22"/>
    </row>
    <row r="120" spans="1:32" ht="15" customHeight="1" x14ac:dyDescent="0.3">
      <c r="A120" s="15"/>
      <c r="B120" s="17" t="str">
        <f t="shared" si="45"/>
        <v/>
      </c>
      <c r="C120" s="38" t="str">
        <f t="shared" si="46"/>
        <v/>
      </c>
      <c r="D120" s="17" t="str">
        <f t="shared" si="47"/>
        <v/>
      </c>
      <c r="E120" s="17" t="str">
        <f t="shared" si="48"/>
        <v/>
      </c>
      <c r="F120" s="15"/>
      <c r="G120" s="15"/>
      <c r="H120" s="15"/>
      <c r="I120" s="17" t="str">
        <f t="shared" si="49"/>
        <v/>
      </c>
      <c r="J120" s="18" t="str">
        <f>IFERROR(IF(I120="","",VLOOKUP(I120,Normtijden_Config!$A$4:$S$55,7,FALSE())),"")</f>
        <v/>
      </c>
      <c r="K120" s="17" t="str">
        <f>IFERROR(IF(I120="","",VLOOKUP(I120,Normtijden_Config!$A$4:$S$55,8,FALSE())),"")</f>
        <v/>
      </c>
      <c r="L120" s="18" t="str">
        <f>IF(I120="","",IFERROR(  IF(VLOOKUP(I120,Normtijden_Config!$A$4:$S$55,9,FALSE())&lt;&gt;"",     VLOOKUP(I120,Normtijden_Config!$A$4:$S$55,9,FALSE()),     IFERROR(-INDEX(tbl_Offsets_Wd,MATCH(K120&amp;"|"&amp;D120&amp;"|"&amp;E120,tbl_Offsets_Key,0)),"")),""))</f>
        <v/>
      </c>
      <c r="M120" s="17" t="str">
        <f>IFERROR(IF(I120="","",VLOOKUP(I120,Normtijden_Config!$A$4:$S$55,10,FALSE())),"")</f>
        <v/>
      </c>
      <c r="N120" s="17" t="str">
        <f>IFERROR(IF(I120="","",VLOOKUP(I120,Normtijden_Config!$A$4:$S$55,11,FALSE())),"")</f>
        <v/>
      </c>
      <c r="O120" s="15"/>
      <c r="P120" s="15"/>
      <c r="Q120" s="39"/>
      <c r="R120" s="39"/>
      <c r="S120" s="38" t="str">
        <f t="shared" si="50"/>
        <v/>
      </c>
      <c r="T120" s="38" t="str">
        <f t="shared" si="51"/>
        <v/>
      </c>
      <c r="U120" s="38" t="str">
        <f t="shared" ca="1" si="52"/>
        <v/>
      </c>
      <c r="V120" s="38">
        <f t="shared" ca="1" si="53"/>
        <v>0</v>
      </c>
      <c r="W120" s="18" t="str">
        <f t="shared" ca="1" si="54"/>
        <v>n.v.t.</v>
      </c>
      <c r="X120" s="17" t="str">
        <f t="shared" ca="1" si="55"/>
        <v>ONBEKEND</v>
      </c>
      <c r="Y120" s="17" t="b">
        <f t="shared" ca="1" si="56"/>
        <v>0</v>
      </c>
      <c r="Z120" s="17" t="b">
        <f t="shared" si="57"/>
        <v>0</v>
      </c>
      <c r="AA120" s="17" t="b">
        <f t="shared" ca="1" si="58"/>
        <v>0</v>
      </c>
      <c r="AB120" s="20" t="str">
        <f t="shared" ca="1" si="59"/>
        <v/>
      </c>
      <c r="AC120" s="15"/>
      <c r="AD120" s="15"/>
      <c r="AE120" s="21"/>
      <c r="AF120" s="22"/>
    </row>
    <row r="121" spans="1:32" ht="15" customHeight="1" x14ac:dyDescent="0.3">
      <c r="A121" s="15"/>
      <c r="B121" s="17" t="str">
        <f t="shared" si="45"/>
        <v/>
      </c>
      <c r="C121" s="38" t="str">
        <f t="shared" si="46"/>
        <v/>
      </c>
      <c r="D121" s="17" t="str">
        <f t="shared" si="47"/>
        <v/>
      </c>
      <c r="E121" s="17" t="str">
        <f t="shared" si="48"/>
        <v/>
      </c>
      <c r="F121" s="15"/>
      <c r="G121" s="15"/>
      <c r="H121" s="15"/>
      <c r="I121" s="17" t="str">
        <f t="shared" si="49"/>
        <v/>
      </c>
      <c r="J121" s="18" t="str">
        <f>IFERROR(IF(I121="","",VLOOKUP(I121,Normtijden_Config!$A$4:$S$55,7,FALSE())),"")</f>
        <v/>
      </c>
      <c r="K121" s="17" t="str">
        <f>IFERROR(IF(I121="","",VLOOKUP(I121,Normtijden_Config!$A$4:$S$55,8,FALSE())),"")</f>
        <v/>
      </c>
      <c r="L121" s="18" t="str">
        <f>IF(I121="","",IFERROR(  IF(VLOOKUP(I121,Normtijden_Config!$A$4:$S$55,9,FALSE())&lt;&gt;"",     VLOOKUP(I121,Normtijden_Config!$A$4:$S$55,9,FALSE()),     IFERROR(-INDEX(tbl_Offsets_Wd,MATCH(K121&amp;"|"&amp;D121&amp;"|"&amp;E121,tbl_Offsets_Key,0)),"")),""))</f>
        <v/>
      </c>
      <c r="M121" s="17" t="str">
        <f>IFERROR(IF(I121="","",VLOOKUP(I121,Normtijden_Config!$A$4:$S$55,10,FALSE())),"")</f>
        <v/>
      </c>
      <c r="N121" s="17" t="str">
        <f>IFERROR(IF(I121="","",VLOOKUP(I121,Normtijden_Config!$A$4:$S$55,11,FALSE())),"")</f>
        <v/>
      </c>
      <c r="O121" s="15"/>
      <c r="P121" s="15"/>
      <c r="Q121" s="39"/>
      <c r="R121" s="39"/>
      <c r="S121" s="38" t="str">
        <f t="shared" si="50"/>
        <v/>
      </c>
      <c r="T121" s="38" t="str">
        <f t="shared" si="51"/>
        <v/>
      </c>
      <c r="U121" s="38" t="str">
        <f t="shared" ca="1" si="52"/>
        <v/>
      </c>
      <c r="V121" s="38">
        <f t="shared" ca="1" si="53"/>
        <v>0</v>
      </c>
      <c r="W121" s="18" t="str">
        <f t="shared" ca="1" si="54"/>
        <v>n.v.t.</v>
      </c>
      <c r="X121" s="17" t="str">
        <f t="shared" ca="1" si="55"/>
        <v>ONBEKEND</v>
      </c>
      <c r="Y121" s="17" t="b">
        <f t="shared" ca="1" si="56"/>
        <v>0</v>
      </c>
      <c r="Z121" s="17" t="b">
        <f t="shared" si="57"/>
        <v>0</v>
      </c>
      <c r="AA121" s="17" t="b">
        <f t="shared" ca="1" si="58"/>
        <v>0</v>
      </c>
      <c r="AB121" s="20" t="str">
        <f t="shared" ca="1" si="59"/>
        <v/>
      </c>
      <c r="AC121" s="15"/>
      <c r="AD121" s="15"/>
      <c r="AE121" s="21"/>
      <c r="AF121" s="22"/>
    </row>
    <row r="122" spans="1:32" ht="15" customHeight="1" x14ac:dyDescent="0.3">
      <c r="A122" s="15"/>
      <c r="B122" s="17" t="str">
        <f t="shared" si="45"/>
        <v/>
      </c>
      <c r="C122" s="38" t="str">
        <f t="shared" si="46"/>
        <v/>
      </c>
      <c r="D122" s="17" t="str">
        <f t="shared" si="47"/>
        <v/>
      </c>
      <c r="E122" s="17" t="str">
        <f t="shared" si="48"/>
        <v/>
      </c>
      <c r="F122" s="15"/>
      <c r="G122" s="15"/>
      <c r="H122" s="15"/>
      <c r="I122" s="17" t="str">
        <f t="shared" si="49"/>
        <v/>
      </c>
      <c r="J122" s="18" t="str">
        <f>IFERROR(IF(I122="","",VLOOKUP(I122,Normtijden_Config!$A$4:$S$55,7,FALSE())),"")</f>
        <v/>
      </c>
      <c r="K122" s="17" t="str">
        <f>IFERROR(IF(I122="","",VLOOKUP(I122,Normtijden_Config!$A$4:$S$55,8,FALSE())),"")</f>
        <v/>
      </c>
      <c r="L122" s="18" t="str">
        <f>IF(I122="","",IFERROR(  IF(VLOOKUP(I122,Normtijden_Config!$A$4:$S$55,9,FALSE())&lt;&gt;"",     VLOOKUP(I122,Normtijden_Config!$A$4:$S$55,9,FALSE()),     IFERROR(-INDEX(tbl_Offsets_Wd,MATCH(K122&amp;"|"&amp;D122&amp;"|"&amp;E122,tbl_Offsets_Key,0)),"")),""))</f>
        <v/>
      </c>
      <c r="M122" s="17" t="str">
        <f>IFERROR(IF(I122="","",VLOOKUP(I122,Normtijden_Config!$A$4:$S$55,10,FALSE())),"")</f>
        <v/>
      </c>
      <c r="N122" s="17" t="str">
        <f>IFERROR(IF(I122="","",VLOOKUP(I122,Normtijden_Config!$A$4:$S$55,11,FALSE())),"")</f>
        <v/>
      </c>
      <c r="O122" s="15"/>
      <c r="P122" s="15"/>
      <c r="Q122" s="39"/>
      <c r="R122" s="39"/>
      <c r="S122" s="38" t="str">
        <f t="shared" si="50"/>
        <v/>
      </c>
      <c r="T122" s="38" t="str">
        <f t="shared" si="51"/>
        <v/>
      </c>
      <c r="U122" s="38" t="str">
        <f t="shared" ca="1" si="52"/>
        <v/>
      </c>
      <c r="V122" s="38">
        <f t="shared" ca="1" si="53"/>
        <v>0</v>
      </c>
      <c r="W122" s="18" t="str">
        <f t="shared" ca="1" si="54"/>
        <v>n.v.t.</v>
      </c>
      <c r="X122" s="17" t="str">
        <f t="shared" ca="1" si="55"/>
        <v>ONBEKEND</v>
      </c>
      <c r="Y122" s="17" t="b">
        <f t="shared" ca="1" si="56"/>
        <v>0</v>
      </c>
      <c r="Z122" s="17" t="b">
        <f t="shared" si="57"/>
        <v>0</v>
      </c>
      <c r="AA122" s="17" t="b">
        <f t="shared" ca="1" si="58"/>
        <v>0</v>
      </c>
      <c r="AB122" s="20" t="str">
        <f t="shared" ca="1" si="59"/>
        <v/>
      </c>
      <c r="AC122" s="15"/>
      <c r="AD122" s="15"/>
      <c r="AE122" s="21"/>
      <c r="AF122" s="22"/>
    </row>
    <row r="123" spans="1:32" ht="15" customHeight="1" x14ac:dyDescent="0.3">
      <c r="A123" s="15"/>
      <c r="B123" s="17" t="str">
        <f t="shared" si="45"/>
        <v/>
      </c>
      <c r="C123" s="38" t="str">
        <f t="shared" si="46"/>
        <v/>
      </c>
      <c r="D123" s="17" t="str">
        <f t="shared" si="47"/>
        <v/>
      </c>
      <c r="E123" s="17" t="str">
        <f t="shared" si="48"/>
        <v/>
      </c>
      <c r="F123" s="15"/>
      <c r="G123" s="15"/>
      <c r="H123" s="15"/>
      <c r="I123" s="17" t="str">
        <f t="shared" si="49"/>
        <v/>
      </c>
      <c r="J123" s="18" t="str">
        <f>IFERROR(IF(I123="","",VLOOKUP(I123,Normtijden_Config!$A$4:$S$55,7,FALSE())),"")</f>
        <v/>
      </c>
      <c r="K123" s="17" t="str">
        <f>IFERROR(IF(I123="","",VLOOKUP(I123,Normtijden_Config!$A$4:$S$55,8,FALSE())),"")</f>
        <v/>
      </c>
      <c r="L123" s="18" t="str">
        <f>IF(I123="","",IFERROR(  IF(VLOOKUP(I123,Normtijden_Config!$A$4:$S$55,9,FALSE())&lt;&gt;"",     VLOOKUP(I123,Normtijden_Config!$A$4:$S$55,9,FALSE()),     IFERROR(-INDEX(tbl_Offsets_Wd,MATCH(K123&amp;"|"&amp;D123&amp;"|"&amp;E123,tbl_Offsets_Key,0)),"")),""))</f>
        <v/>
      </c>
      <c r="M123" s="17" t="str">
        <f>IFERROR(IF(I123="","",VLOOKUP(I123,Normtijden_Config!$A$4:$S$55,10,FALSE())),"")</f>
        <v/>
      </c>
      <c r="N123" s="17" t="str">
        <f>IFERROR(IF(I123="","",VLOOKUP(I123,Normtijden_Config!$A$4:$S$55,11,FALSE())),"")</f>
        <v/>
      </c>
      <c r="O123" s="15"/>
      <c r="P123" s="15"/>
      <c r="Q123" s="39"/>
      <c r="R123" s="39"/>
      <c r="S123" s="38" t="str">
        <f t="shared" si="50"/>
        <v/>
      </c>
      <c r="T123" s="38" t="str">
        <f t="shared" si="51"/>
        <v/>
      </c>
      <c r="U123" s="38" t="str">
        <f t="shared" ca="1" si="52"/>
        <v/>
      </c>
      <c r="V123" s="38">
        <f t="shared" ca="1" si="53"/>
        <v>0</v>
      </c>
      <c r="W123" s="18" t="str">
        <f t="shared" ca="1" si="54"/>
        <v>n.v.t.</v>
      </c>
      <c r="X123" s="17" t="str">
        <f t="shared" ca="1" si="55"/>
        <v>ONBEKEND</v>
      </c>
      <c r="Y123" s="17" t="b">
        <f t="shared" ca="1" si="56"/>
        <v>0</v>
      </c>
      <c r="Z123" s="17" t="b">
        <f t="shared" si="57"/>
        <v>0</v>
      </c>
      <c r="AA123" s="17" t="b">
        <f t="shared" ca="1" si="58"/>
        <v>0</v>
      </c>
      <c r="AB123" s="20" t="str">
        <f t="shared" ca="1" si="59"/>
        <v/>
      </c>
      <c r="AC123" s="15"/>
      <c r="AD123" s="15"/>
      <c r="AE123" s="21"/>
      <c r="AF123" s="22"/>
    </row>
    <row r="124" spans="1:32" ht="15" customHeight="1" x14ac:dyDescent="0.3">
      <c r="A124" s="15"/>
      <c r="B124" s="17" t="str">
        <f t="shared" si="45"/>
        <v/>
      </c>
      <c r="C124" s="38" t="str">
        <f t="shared" si="46"/>
        <v/>
      </c>
      <c r="D124" s="17" t="str">
        <f t="shared" si="47"/>
        <v/>
      </c>
      <c r="E124" s="17" t="str">
        <f t="shared" si="48"/>
        <v/>
      </c>
      <c r="F124" s="15"/>
      <c r="G124" s="15"/>
      <c r="H124" s="15"/>
      <c r="I124" s="17" t="str">
        <f t="shared" si="49"/>
        <v/>
      </c>
      <c r="J124" s="18" t="str">
        <f>IFERROR(IF(I124="","",VLOOKUP(I124,Normtijden_Config!$A$4:$S$55,7,FALSE())),"")</f>
        <v/>
      </c>
      <c r="K124" s="17" t="str">
        <f>IFERROR(IF(I124="","",VLOOKUP(I124,Normtijden_Config!$A$4:$S$55,8,FALSE())),"")</f>
        <v/>
      </c>
      <c r="L124" s="18" t="str">
        <f>IF(I124="","",IFERROR(  IF(VLOOKUP(I124,Normtijden_Config!$A$4:$S$55,9,FALSE())&lt;&gt;"",     VLOOKUP(I124,Normtijden_Config!$A$4:$S$55,9,FALSE()),     IFERROR(-INDEX(tbl_Offsets_Wd,MATCH(K124&amp;"|"&amp;D124&amp;"|"&amp;E124,tbl_Offsets_Key,0)),"")),""))</f>
        <v/>
      </c>
      <c r="M124" s="17" t="str">
        <f>IFERROR(IF(I124="","",VLOOKUP(I124,Normtijden_Config!$A$4:$S$55,10,FALSE())),"")</f>
        <v/>
      </c>
      <c r="N124" s="17" t="str">
        <f>IFERROR(IF(I124="","",VLOOKUP(I124,Normtijden_Config!$A$4:$S$55,11,FALSE())),"")</f>
        <v/>
      </c>
      <c r="O124" s="15"/>
      <c r="P124" s="15"/>
      <c r="Q124" s="39"/>
      <c r="R124" s="39"/>
      <c r="S124" s="38" t="str">
        <f t="shared" si="50"/>
        <v/>
      </c>
      <c r="T124" s="38" t="str">
        <f t="shared" si="51"/>
        <v/>
      </c>
      <c r="U124" s="38" t="str">
        <f t="shared" ca="1" si="52"/>
        <v/>
      </c>
      <c r="V124" s="38">
        <f t="shared" ca="1" si="53"/>
        <v>0</v>
      </c>
      <c r="W124" s="18" t="str">
        <f t="shared" ca="1" si="54"/>
        <v>n.v.t.</v>
      </c>
      <c r="X124" s="17" t="str">
        <f t="shared" ca="1" si="55"/>
        <v>ONBEKEND</v>
      </c>
      <c r="Y124" s="17" t="b">
        <f t="shared" ca="1" si="56"/>
        <v>0</v>
      </c>
      <c r="Z124" s="17" t="b">
        <f t="shared" si="57"/>
        <v>0</v>
      </c>
      <c r="AA124" s="17" t="b">
        <f t="shared" ca="1" si="58"/>
        <v>0</v>
      </c>
      <c r="AB124" s="20" t="str">
        <f t="shared" ca="1" si="59"/>
        <v/>
      </c>
      <c r="AC124" s="15"/>
      <c r="AD124" s="15"/>
      <c r="AE124" s="21"/>
      <c r="AF124" s="22"/>
    </row>
    <row r="125" spans="1:32" ht="15" customHeight="1" x14ac:dyDescent="0.3">
      <c r="A125" s="15"/>
      <c r="B125" s="17" t="str">
        <f t="shared" si="45"/>
        <v/>
      </c>
      <c r="C125" s="38" t="str">
        <f t="shared" si="46"/>
        <v/>
      </c>
      <c r="D125" s="17" t="str">
        <f t="shared" si="47"/>
        <v/>
      </c>
      <c r="E125" s="17" t="str">
        <f t="shared" si="48"/>
        <v/>
      </c>
      <c r="F125" s="15"/>
      <c r="G125" s="15"/>
      <c r="H125" s="15"/>
      <c r="I125" s="17" t="str">
        <f t="shared" si="49"/>
        <v/>
      </c>
      <c r="J125" s="18" t="str">
        <f>IFERROR(IF(I125="","",VLOOKUP(I125,Normtijden_Config!$A$4:$S$55,7,FALSE())),"")</f>
        <v/>
      </c>
      <c r="K125" s="17" t="str">
        <f>IFERROR(IF(I125="","",VLOOKUP(I125,Normtijden_Config!$A$4:$S$55,8,FALSE())),"")</f>
        <v/>
      </c>
      <c r="L125" s="18" t="str">
        <f>IF(I125="","",IFERROR(  IF(VLOOKUP(I125,Normtijden_Config!$A$4:$S$55,9,FALSE())&lt;&gt;"",     VLOOKUP(I125,Normtijden_Config!$A$4:$S$55,9,FALSE()),     IFERROR(-INDEX(tbl_Offsets_Wd,MATCH(K125&amp;"|"&amp;D125&amp;"|"&amp;E125,tbl_Offsets_Key,0)),"")),""))</f>
        <v/>
      </c>
      <c r="M125" s="17" t="str">
        <f>IFERROR(IF(I125="","",VLOOKUP(I125,Normtijden_Config!$A$4:$S$55,10,FALSE())),"")</f>
        <v/>
      </c>
      <c r="N125" s="17" t="str">
        <f>IFERROR(IF(I125="","",VLOOKUP(I125,Normtijden_Config!$A$4:$S$55,11,FALSE())),"")</f>
        <v/>
      </c>
      <c r="O125" s="15"/>
      <c r="P125" s="15"/>
      <c r="Q125" s="39"/>
      <c r="R125" s="39"/>
      <c r="S125" s="38" t="str">
        <f t="shared" si="50"/>
        <v/>
      </c>
      <c r="T125" s="38" t="str">
        <f t="shared" si="51"/>
        <v/>
      </c>
      <c r="U125" s="38" t="str">
        <f t="shared" ca="1" si="52"/>
        <v/>
      </c>
      <c r="V125" s="38">
        <f t="shared" ca="1" si="53"/>
        <v>0</v>
      </c>
      <c r="W125" s="18" t="str">
        <f t="shared" ca="1" si="54"/>
        <v>n.v.t.</v>
      </c>
      <c r="X125" s="17" t="str">
        <f t="shared" ca="1" si="55"/>
        <v>ONBEKEND</v>
      </c>
      <c r="Y125" s="17" t="b">
        <f t="shared" ca="1" si="56"/>
        <v>0</v>
      </c>
      <c r="Z125" s="17" t="b">
        <f t="shared" si="57"/>
        <v>0</v>
      </c>
      <c r="AA125" s="17" t="b">
        <f t="shared" ca="1" si="58"/>
        <v>0</v>
      </c>
      <c r="AB125" s="20" t="str">
        <f t="shared" ca="1" si="59"/>
        <v/>
      </c>
      <c r="AC125" s="15"/>
      <c r="AD125" s="15"/>
      <c r="AE125" s="21"/>
      <c r="AF125" s="22"/>
    </row>
    <row r="126" spans="1:32" ht="15" customHeight="1" x14ac:dyDescent="0.3">
      <c r="A126" s="15"/>
      <c r="B126" s="17" t="str">
        <f t="shared" si="45"/>
        <v/>
      </c>
      <c r="C126" s="38" t="str">
        <f t="shared" si="46"/>
        <v/>
      </c>
      <c r="D126" s="17" t="str">
        <f t="shared" si="47"/>
        <v/>
      </c>
      <c r="E126" s="17" t="str">
        <f t="shared" si="48"/>
        <v/>
      </c>
      <c r="F126" s="15"/>
      <c r="G126" s="15"/>
      <c r="H126" s="15"/>
      <c r="I126" s="17" t="str">
        <f t="shared" si="49"/>
        <v/>
      </c>
      <c r="J126" s="18" t="str">
        <f>IFERROR(IF(I126="","",VLOOKUP(I126,Normtijden_Config!$A$4:$S$55,7,FALSE())),"")</f>
        <v/>
      </c>
      <c r="K126" s="17" t="str">
        <f>IFERROR(IF(I126="","",VLOOKUP(I126,Normtijden_Config!$A$4:$S$55,8,FALSE())),"")</f>
        <v/>
      </c>
      <c r="L126" s="18" t="str">
        <f>IF(I126="","",IFERROR(  IF(VLOOKUP(I126,Normtijden_Config!$A$4:$S$55,9,FALSE())&lt;&gt;"",     VLOOKUP(I126,Normtijden_Config!$A$4:$S$55,9,FALSE()),     IFERROR(-INDEX(tbl_Offsets_Wd,MATCH(K126&amp;"|"&amp;D126&amp;"|"&amp;E126,tbl_Offsets_Key,0)),"")),""))</f>
        <v/>
      </c>
      <c r="M126" s="17" t="str">
        <f>IFERROR(IF(I126="","",VLOOKUP(I126,Normtijden_Config!$A$4:$S$55,10,FALSE())),"")</f>
        <v/>
      </c>
      <c r="N126" s="17" t="str">
        <f>IFERROR(IF(I126="","",VLOOKUP(I126,Normtijden_Config!$A$4:$S$55,11,FALSE())),"")</f>
        <v/>
      </c>
      <c r="O126" s="15"/>
      <c r="P126" s="15"/>
      <c r="Q126" s="39"/>
      <c r="R126" s="39"/>
      <c r="S126" s="38" t="str">
        <f t="shared" si="50"/>
        <v/>
      </c>
      <c r="T126" s="38" t="str">
        <f t="shared" si="51"/>
        <v/>
      </c>
      <c r="U126" s="38" t="str">
        <f t="shared" ca="1" si="52"/>
        <v/>
      </c>
      <c r="V126" s="38">
        <f t="shared" ca="1" si="53"/>
        <v>0</v>
      </c>
      <c r="W126" s="18" t="str">
        <f t="shared" ca="1" si="54"/>
        <v>n.v.t.</v>
      </c>
      <c r="X126" s="17" t="str">
        <f t="shared" ca="1" si="55"/>
        <v>ONBEKEND</v>
      </c>
      <c r="Y126" s="17" t="b">
        <f t="shared" ca="1" si="56"/>
        <v>0</v>
      </c>
      <c r="Z126" s="17" t="b">
        <f t="shared" si="57"/>
        <v>0</v>
      </c>
      <c r="AA126" s="17" t="b">
        <f t="shared" ca="1" si="58"/>
        <v>0</v>
      </c>
      <c r="AB126" s="20" t="str">
        <f t="shared" ca="1" si="59"/>
        <v/>
      </c>
      <c r="AC126" s="15"/>
      <c r="AD126" s="15"/>
      <c r="AE126" s="21"/>
      <c r="AF126" s="22"/>
    </row>
    <row r="127" spans="1:32" ht="15" customHeight="1" x14ac:dyDescent="0.3">
      <c r="A127" s="15"/>
      <c r="B127" s="17" t="str">
        <f t="shared" si="45"/>
        <v/>
      </c>
      <c r="C127" s="38" t="str">
        <f t="shared" si="46"/>
        <v/>
      </c>
      <c r="D127" s="17" t="str">
        <f t="shared" si="47"/>
        <v/>
      </c>
      <c r="E127" s="17" t="str">
        <f t="shared" si="48"/>
        <v/>
      </c>
      <c r="F127" s="15"/>
      <c r="G127" s="15"/>
      <c r="H127" s="15"/>
      <c r="I127" s="17" t="str">
        <f t="shared" si="49"/>
        <v/>
      </c>
      <c r="J127" s="18" t="str">
        <f>IFERROR(IF(I127="","",VLOOKUP(I127,Normtijden_Config!$A$4:$S$55,7,FALSE())),"")</f>
        <v/>
      </c>
      <c r="K127" s="17" t="str">
        <f>IFERROR(IF(I127="","",VLOOKUP(I127,Normtijden_Config!$A$4:$S$55,8,FALSE())),"")</f>
        <v/>
      </c>
      <c r="L127" s="18" t="str">
        <f>IF(I127="","",IFERROR(  IF(VLOOKUP(I127,Normtijden_Config!$A$4:$S$55,9,FALSE())&lt;&gt;"",     VLOOKUP(I127,Normtijden_Config!$A$4:$S$55,9,FALSE()),     IFERROR(-INDEX(tbl_Offsets_Wd,MATCH(K127&amp;"|"&amp;D127&amp;"|"&amp;E127,tbl_Offsets_Key,0)),"")),""))</f>
        <v/>
      </c>
      <c r="M127" s="17" t="str">
        <f>IFERROR(IF(I127="","",VLOOKUP(I127,Normtijden_Config!$A$4:$S$55,10,FALSE())),"")</f>
        <v/>
      </c>
      <c r="N127" s="17" t="str">
        <f>IFERROR(IF(I127="","",VLOOKUP(I127,Normtijden_Config!$A$4:$S$55,11,FALSE())),"")</f>
        <v/>
      </c>
      <c r="O127" s="15"/>
      <c r="P127" s="15"/>
      <c r="Q127" s="39"/>
      <c r="R127" s="39"/>
      <c r="S127" s="38" t="str">
        <f t="shared" si="50"/>
        <v/>
      </c>
      <c r="T127" s="38" t="str">
        <f t="shared" si="51"/>
        <v/>
      </c>
      <c r="U127" s="38" t="str">
        <f t="shared" ca="1" si="52"/>
        <v/>
      </c>
      <c r="V127" s="38">
        <f t="shared" ca="1" si="53"/>
        <v>0</v>
      </c>
      <c r="W127" s="18" t="str">
        <f t="shared" ca="1" si="54"/>
        <v>n.v.t.</v>
      </c>
      <c r="X127" s="17" t="str">
        <f t="shared" ca="1" si="55"/>
        <v>ONBEKEND</v>
      </c>
      <c r="Y127" s="17" t="b">
        <f t="shared" ca="1" si="56"/>
        <v>0</v>
      </c>
      <c r="Z127" s="17" t="b">
        <f t="shared" si="57"/>
        <v>0</v>
      </c>
      <c r="AA127" s="17" t="b">
        <f t="shared" ca="1" si="58"/>
        <v>0</v>
      </c>
      <c r="AB127" s="20" t="str">
        <f t="shared" ca="1" si="59"/>
        <v/>
      </c>
      <c r="AC127" s="15"/>
      <c r="AD127" s="15"/>
      <c r="AE127" s="21"/>
      <c r="AF127" s="22"/>
    </row>
    <row r="128" spans="1:32" ht="15" customHeight="1" x14ac:dyDescent="0.3">
      <c r="A128" s="15"/>
      <c r="B128" s="17" t="str">
        <f t="shared" si="45"/>
        <v/>
      </c>
      <c r="C128" s="38" t="str">
        <f t="shared" si="46"/>
        <v/>
      </c>
      <c r="D128" s="17" t="str">
        <f t="shared" si="47"/>
        <v/>
      </c>
      <c r="E128" s="17" t="str">
        <f t="shared" si="48"/>
        <v/>
      </c>
      <c r="F128" s="15"/>
      <c r="G128" s="15"/>
      <c r="H128" s="15"/>
      <c r="I128" s="17" t="str">
        <f t="shared" si="49"/>
        <v/>
      </c>
      <c r="J128" s="18" t="str">
        <f>IFERROR(IF(I128="","",VLOOKUP(I128,Normtijden_Config!$A$4:$S$55,7,FALSE())),"")</f>
        <v/>
      </c>
      <c r="K128" s="17" t="str">
        <f>IFERROR(IF(I128="","",VLOOKUP(I128,Normtijden_Config!$A$4:$S$55,8,FALSE())),"")</f>
        <v/>
      </c>
      <c r="L128" s="18" t="str">
        <f>IF(I128="","",IFERROR(  IF(VLOOKUP(I128,Normtijden_Config!$A$4:$S$55,9,FALSE())&lt;&gt;"",     VLOOKUP(I128,Normtijden_Config!$A$4:$S$55,9,FALSE()),     IFERROR(-INDEX(tbl_Offsets_Wd,MATCH(K128&amp;"|"&amp;D128&amp;"|"&amp;E128,tbl_Offsets_Key,0)),"")),""))</f>
        <v/>
      </c>
      <c r="M128" s="17" t="str">
        <f>IFERROR(IF(I128="","",VLOOKUP(I128,Normtijden_Config!$A$4:$S$55,10,FALSE())),"")</f>
        <v/>
      </c>
      <c r="N128" s="17" t="str">
        <f>IFERROR(IF(I128="","",VLOOKUP(I128,Normtijden_Config!$A$4:$S$55,11,FALSE())),"")</f>
        <v/>
      </c>
      <c r="O128" s="15"/>
      <c r="P128" s="15"/>
      <c r="Q128" s="39"/>
      <c r="R128" s="39"/>
      <c r="S128" s="38" t="str">
        <f t="shared" si="50"/>
        <v/>
      </c>
      <c r="T128" s="38" t="str">
        <f t="shared" si="51"/>
        <v/>
      </c>
      <c r="U128" s="38" t="str">
        <f t="shared" ca="1" si="52"/>
        <v/>
      </c>
      <c r="V128" s="38">
        <f t="shared" ca="1" si="53"/>
        <v>0</v>
      </c>
      <c r="W128" s="18" t="str">
        <f t="shared" ca="1" si="54"/>
        <v>n.v.t.</v>
      </c>
      <c r="X128" s="17" t="str">
        <f t="shared" ca="1" si="55"/>
        <v>ONBEKEND</v>
      </c>
      <c r="Y128" s="17" t="b">
        <f t="shared" ca="1" si="56"/>
        <v>0</v>
      </c>
      <c r="Z128" s="17" t="b">
        <f t="shared" si="57"/>
        <v>0</v>
      </c>
      <c r="AA128" s="17" t="b">
        <f t="shared" ca="1" si="58"/>
        <v>0</v>
      </c>
      <c r="AB128" s="20" t="str">
        <f t="shared" ca="1" si="59"/>
        <v/>
      </c>
      <c r="AC128" s="15"/>
      <c r="AD128" s="15"/>
      <c r="AE128" s="21"/>
      <c r="AF128" s="22"/>
    </row>
    <row r="129" spans="1:32" ht="15" customHeight="1" x14ac:dyDescent="0.3">
      <c r="A129" s="15"/>
      <c r="B129" s="17" t="str">
        <f t="shared" si="45"/>
        <v/>
      </c>
      <c r="C129" s="38" t="str">
        <f t="shared" si="46"/>
        <v/>
      </c>
      <c r="D129" s="17" t="str">
        <f t="shared" si="47"/>
        <v/>
      </c>
      <c r="E129" s="17" t="str">
        <f t="shared" si="48"/>
        <v/>
      </c>
      <c r="F129" s="15"/>
      <c r="G129" s="15"/>
      <c r="H129" s="15"/>
      <c r="I129" s="17" t="str">
        <f t="shared" si="49"/>
        <v/>
      </c>
      <c r="J129" s="18" t="str">
        <f>IFERROR(IF(I129="","",VLOOKUP(I129,Normtijden_Config!$A$4:$S$55,7,FALSE())),"")</f>
        <v/>
      </c>
      <c r="K129" s="17" t="str">
        <f>IFERROR(IF(I129="","",VLOOKUP(I129,Normtijden_Config!$A$4:$S$55,8,FALSE())),"")</f>
        <v/>
      </c>
      <c r="L129" s="18" t="str">
        <f>IF(I129="","",IFERROR(  IF(VLOOKUP(I129,Normtijden_Config!$A$4:$S$55,9,FALSE())&lt;&gt;"",     VLOOKUP(I129,Normtijden_Config!$A$4:$S$55,9,FALSE()),     IFERROR(-INDEX(tbl_Offsets_Wd,MATCH(K129&amp;"|"&amp;D129&amp;"|"&amp;E129,tbl_Offsets_Key,0)),"")),""))</f>
        <v/>
      </c>
      <c r="M129" s="17" t="str">
        <f>IFERROR(IF(I129="","",VLOOKUP(I129,Normtijden_Config!$A$4:$S$55,10,FALSE())),"")</f>
        <v/>
      </c>
      <c r="N129" s="17" t="str">
        <f>IFERROR(IF(I129="","",VLOOKUP(I129,Normtijden_Config!$A$4:$S$55,11,FALSE())),"")</f>
        <v/>
      </c>
      <c r="O129" s="15"/>
      <c r="P129" s="15"/>
      <c r="Q129" s="39"/>
      <c r="R129" s="39"/>
      <c r="S129" s="38" t="str">
        <f t="shared" si="50"/>
        <v/>
      </c>
      <c r="T129" s="38" t="str">
        <f t="shared" si="51"/>
        <v/>
      </c>
      <c r="U129" s="38" t="str">
        <f t="shared" ca="1" si="52"/>
        <v/>
      </c>
      <c r="V129" s="38">
        <f t="shared" ca="1" si="53"/>
        <v>0</v>
      </c>
      <c r="W129" s="18" t="str">
        <f t="shared" ca="1" si="54"/>
        <v>n.v.t.</v>
      </c>
      <c r="X129" s="17" t="str">
        <f t="shared" ca="1" si="55"/>
        <v>ONBEKEND</v>
      </c>
      <c r="Y129" s="17" t="b">
        <f t="shared" ca="1" si="56"/>
        <v>0</v>
      </c>
      <c r="Z129" s="17" t="b">
        <f t="shared" si="57"/>
        <v>0</v>
      </c>
      <c r="AA129" s="17" t="b">
        <f t="shared" ca="1" si="58"/>
        <v>0</v>
      </c>
      <c r="AB129" s="20" t="str">
        <f t="shared" ca="1" si="59"/>
        <v/>
      </c>
      <c r="AC129" s="15"/>
      <c r="AD129" s="15"/>
      <c r="AE129" s="21"/>
      <c r="AF129" s="22"/>
    </row>
    <row r="130" spans="1:32" ht="15" customHeight="1" x14ac:dyDescent="0.3">
      <c r="A130" s="15"/>
      <c r="B130" s="17" t="str">
        <f t="shared" si="45"/>
        <v/>
      </c>
      <c r="C130" s="38" t="str">
        <f t="shared" si="46"/>
        <v/>
      </c>
      <c r="D130" s="17" t="str">
        <f t="shared" si="47"/>
        <v/>
      </c>
      <c r="E130" s="17" t="str">
        <f t="shared" si="48"/>
        <v/>
      </c>
      <c r="F130" s="15"/>
      <c r="G130" s="15"/>
      <c r="H130" s="15"/>
      <c r="I130" s="17" t="str">
        <f t="shared" si="49"/>
        <v/>
      </c>
      <c r="J130" s="18" t="str">
        <f>IFERROR(IF(I130="","",VLOOKUP(I130,Normtijden_Config!$A$4:$S$55,7,FALSE())),"")</f>
        <v/>
      </c>
      <c r="K130" s="17" t="str">
        <f>IFERROR(IF(I130="","",VLOOKUP(I130,Normtijden_Config!$A$4:$S$55,8,FALSE())),"")</f>
        <v/>
      </c>
      <c r="L130" s="18" t="str">
        <f>IF(I130="","",IFERROR(  IF(VLOOKUP(I130,Normtijden_Config!$A$4:$S$55,9,FALSE())&lt;&gt;"",     VLOOKUP(I130,Normtijden_Config!$A$4:$S$55,9,FALSE()),     IFERROR(-INDEX(tbl_Offsets_Wd,MATCH(K130&amp;"|"&amp;D130&amp;"|"&amp;E130,tbl_Offsets_Key,0)),"")),""))</f>
        <v/>
      </c>
      <c r="M130" s="17" t="str">
        <f>IFERROR(IF(I130="","",VLOOKUP(I130,Normtijden_Config!$A$4:$S$55,10,FALSE())),"")</f>
        <v/>
      </c>
      <c r="N130" s="17" t="str">
        <f>IFERROR(IF(I130="","",VLOOKUP(I130,Normtijden_Config!$A$4:$S$55,11,FALSE())),"")</f>
        <v/>
      </c>
      <c r="O130" s="15"/>
      <c r="P130" s="15"/>
      <c r="Q130" s="39"/>
      <c r="R130" s="39"/>
      <c r="S130" s="38" t="str">
        <f t="shared" si="50"/>
        <v/>
      </c>
      <c r="T130" s="38" t="str">
        <f t="shared" si="51"/>
        <v/>
      </c>
      <c r="U130" s="38" t="str">
        <f t="shared" ca="1" si="52"/>
        <v/>
      </c>
      <c r="V130" s="38">
        <f t="shared" ca="1" si="53"/>
        <v>0</v>
      </c>
      <c r="W130" s="18" t="str">
        <f t="shared" ca="1" si="54"/>
        <v>n.v.t.</v>
      </c>
      <c r="X130" s="17" t="str">
        <f t="shared" ca="1" si="55"/>
        <v>ONBEKEND</v>
      </c>
      <c r="Y130" s="17" t="b">
        <f t="shared" ca="1" si="56"/>
        <v>0</v>
      </c>
      <c r="Z130" s="17" t="b">
        <f t="shared" si="57"/>
        <v>0</v>
      </c>
      <c r="AA130" s="17" t="b">
        <f t="shared" ca="1" si="58"/>
        <v>0</v>
      </c>
      <c r="AB130" s="20" t="str">
        <f t="shared" ca="1" si="59"/>
        <v/>
      </c>
      <c r="AC130" s="15"/>
      <c r="AD130" s="15"/>
      <c r="AE130" s="21"/>
      <c r="AF130" s="22"/>
    </row>
    <row r="131" spans="1:32" ht="15" customHeight="1" x14ac:dyDescent="0.3">
      <c r="A131" s="15"/>
      <c r="B131" s="17" t="str">
        <f t="shared" si="45"/>
        <v/>
      </c>
      <c r="C131" s="38" t="str">
        <f t="shared" si="46"/>
        <v/>
      </c>
      <c r="D131" s="17" t="str">
        <f t="shared" si="47"/>
        <v/>
      </c>
      <c r="E131" s="17" t="str">
        <f t="shared" si="48"/>
        <v/>
      </c>
      <c r="F131" s="15"/>
      <c r="G131" s="15"/>
      <c r="H131" s="15"/>
      <c r="I131" s="17" t="str">
        <f t="shared" si="49"/>
        <v/>
      </c>
      <c r="J131" s="18" t="str">
        <f>IFERROR(IF(I131="","",VLOOKUP(I131,Normtijden_Config!$A$4:$S$55,7,FALSE())),"")</f>
        <v/>
      </c>
      <c r="K131" s="17" t="str">
        <f>IFERROR(IF(I131="","",VLOOKUP(I131,Normtijden_Config!$A$4:$S$55,8,FALSE())),"")</f>
        <v/>
      </c>
      <c r="L131" s="18" t="str">
        <f>IF(I131="","",IFERROR(  IF(VLOOKUP(I131,Normtijden_Config!$A$4:$S$55,9,FALSE())&lt;&gt;"",     VLOOKUP(I131,Normtijden_Config!$A$4:$S$55,9,FALSE()),     IFERROR(-INDEX(tbl_Offsets_Wd,MATCH(K131&amp;"|"&amp;D131&amp;"|"&amp;E131,tbl_Offsets_Key,0)),"")),""))</f>
        <v/>
      </c>
      <c r="M131" s="17" t="str">
        <f>IFERROR(IF(I131="","",VLOOKUP(I131,Normtijden_Config!$A$4:$S$55,10,FALSE())),"")</f>
        <v/>
      </c>
      <c r="N131" s="17" t="str">
        <f>IFERROR(IF(I131="","",VLOOKUP(I131,Normtijden_Config!$A$4:$S$55,11,FALSE())),"")</f>
        <v/>
      </c>
      <c r="O131" s="15"/>
      <c r="P131" s="15"/>
      <c r="Q131" s="39"/>
      <c r="R131" s="39"/>
      <c r="S131" s="38" t="str">
        <f t="shared" si="50"/>
        <v/>
      </c>
      <c r="T131" s="38" t="str">
        <f t="shared" si="51"/>
        <v/>
      </c>
      <c r="U131" s="38" t="str">
        <f t="shared" ca="1" si="52"/>
        <v/>
      </c>
      <c r="V131" s="38">
        <f t="shared" ca="1" si="53"/>
        <v>0</v>
      </c>
      <c r="W131" s="18" t="str">
        <f t="shared" ca="1" si="54"/>
        <v>n.v.t.</v>
      </c>
      <c r="X131" s="17" t="str">
        <f t="shared" ca="1" si="55"/>
        <v>ONBEKEND</v>
      </c>
      <c r="Y131" s="17" t="b">
        <f t="shared" ca="1" si="56"/>
        <v>0</v>
      </c>
      <c r="Z131" s="17" t="b">
        <f t="shared" si="57"/>
        <v>0</v>
      </c>
      <c r="AA131" s="17" t="b">
        <f t="shared" ca="1" si="58"/>
        <v>0</v>
      </c>
      <c r="AB131" s="20" t="str">
        <f t="shared" ca="1" si="59"/>
        <v/>
      </c>
      <c r="AC131" s="15"/>
      <c r="AD131" s="15"/>
      <c r="AE131" s="21"/>
      <c r="AF131" s="22"/>
    </row>
    <row r="132" spans="1:32" ht="15" customHeight="1" x14ac:dyDescent="0.3">
      <c r="A132" s="15"/>
      <c r="B132" s="17" t="str">
        <f t="shared" ref="B132:B163" si="60">IF(A132="","",IFERROR(INDEX(tbl_Proj_Naam,MATCH(A132,tbl_Proj_ID,0)),"—"))</f>
        <v/>
      </c>
      <c r="C132" s="38" t="str">
        <f t="shared" ref="C132:C163" si="61">IF(A132="","",IFERROR(INDEX(tbl_Proj_GSU,MATCH(A132,tbl_Proj_ID,0)),""))</f>
        <v/>
      </c>
      <c r="D132" s="17" t="str">
        <f t="shared" ref="D132:D163" si="62">IF(A132="","",IFERROR(INDEX(tbl_Proj_Rt,MATCH(A132,tbl_Proj_ID,0)),""))</f>
        <v/>
      </c>
      <c r="E132" s="17" t="str">
        <f t="shared" ref="E132:E163" si="63">IF(A132="","",IFERROR(INDEX(tbl_Proj_Vt,MATCH(A132,tbl_Proj_ID,0)),""))</f>
        <v/>
      </c>
      <c r="F132" s="15"/>
      <c r="G132" s="15"/>
      <c r="H132" s="15"/>
      <c r="I132" s="17" t="str">
        <f t="shared" ref="I132:I163" si="64">IF(OR(F132="",H132=""),"",IFERROR(INDEX(tbl_Keuzes_ItemID,MATCH(LEFT(F132,1)&amp;"|"&amp;G132&amp;"|"&amp;H132,tbl_Keuzes_Key,0)),""))</f>
        <v/>
      </c>
      <c r="J132" s="18" t="str">
        <f>IFERROR(IF(I132="","",VLOOKUP(I132,Normtijden_Config!$A$4:$S$55,7,FALSE())),"")</f>
        <v/>
      </c>
      <c r="K132" s="17" t="str">
        <f>IFERROR(IF(I132="","",VLOOKUP(I132,Normtijden_Config!$A$4:$S$55,8,FALSE())),"")</f>
        <v/>
      </c>
      <c r="L132" s="18" t="str">
        <f>IF(I132="","",IFERROR(  IF(VLOOKUP(I132,Normtijden_Config!$A$4:$S$55,9,FALSE())&lt;&gt;"",     VLOOKUP(I132,Normtijden_Config!$A$4:$S$55,9,FALSE()),     IFERROR(-INDEX(tbl_Offsets_Wd,MATCH(K132&amp;"|"&amp;D132&amp;"|"&amp;E132,tbl_Offsets_Key,0)),"")),""))</f>
        <v/>
      </c>
      <c r="M132" s="17" t="str">
        <f>IFERROR(IF(I132="","",VLOOKUP(I132,Normtijden_Config!$A$4:$S$55,10,FALSE())),"")</f>
        <v/>
      </c>
      <c r="N132" s="17" t="str">
        <f>IFERROR(IF(I132="","",VLOOKUP(I132,Normtijden_Config!$A$4:$S$55,11,FALSE())),"")</f>
        <v/>
      </c>
      <c r="O132" s="15"/>
      <c r="P132" s="15"/>
      <c r="Q132" s="39"/>
      <c r="R132" s="39"/>
      <c r="S132" s="38" t="str">
        <f t="shared" ref="S132:S163" si="65">IF(OR(C132="",L132=""),"",WORKDAY(C132,-L132))</f>
        <v/>
      </c>
      <c r="T132" s="38" t="str">
        <f t="shared" ref="T132:T163" si="66">IF(OR(S132="",J132=""),"",WORKDAY(S132,-J132))</f>
        <v/>
      </c>
      <c r="U132" s="38" t="str">
        <f t="shared" ref="U132:U163" ca="1" si="67">IF(R132&lt;&gt;"",R132,IF(AND(Q132&lt;&gt;"",ISNUMBER(J132)),WORKDAY(Q132,J132),IF(AND(P132="Nodig",ISNUMBER(J132)),WORKDAY(TODAY(),J132),"")))</f>
        <v/>
      </c>
      <c r="V132" s="38">
        <f t="shared" ref="V132:V163" ca="1" si="68">IF(OR(P132="Afgerond",P132="Goedgekeurd",P132="N.v.t"),0,IF(OR(U132="",L132=""),0,WORKDAY(U132,L132)))</f>
        <v>0</v>
      </c>
      <c r="W132" s="18" t="str">
        <f t="shared" ref="W132:W163" ca="1" si="69">IF(P132="N.v.t","",IF(OR(P132="Afgerond",P132="Goedgekeurd"),"✓",IF(J132="","n.v.t.",IF(Q132="",J132,J132-NETWORKDAYS(Q132,TODAY())+1))))</f>
        <v>n.v.t.</v>
      </c>
      <c r="X132" s="17" t="str">
        <f t="shared" ref="X132:X163" ca="1" si="70">IF(OR(U132="",S132=""),"ONBEKEND",IF(U132&lt;=S132,"JA",IF(U132&lt;=C132,"KRAP","NEE")))</f>
        <v>ONBEKEND</v>
      </c>
      <c r="Y132" s="17" t="b">
        <f t="shared" ref="Y132:Y163" ca="1" si="71">IF(A132="",FALSE(),OR(X132="KRAP",AND(P132="Nodig",IFERROR(TODAY()&gt;=T132-10,FALSE())),AND(P132="Ingediend",ISNUMBER(W132),W132&lt;=5,W132&gt;0),P132="Afgewezen"))</f>
        <v>0</v>
      </c>
      <c r="Z132" s="17" t="b">
        <f t="shared" ref="Z132:Z163" si="72">IF(A132="",FALSE(),AND(M132=TRUE(),OR(X132="NEE",AND(ISNUMBER(W132),W132&lt;0))))</f>
        <v>0</v>
      </c>
      <c r="AA132" s="17" t="b">
        <f t="shared" ref="AA132:AA163" ca="1" si="73">IF(A132="",FALSE(),AND(N132=TRUE(),OR(P132="Nodig",P132="Ingediend",P132="Afgewezen"),IFERROR(TODAY()&gt;S132,FALSE())))</f>
        <v>0</v>
      </c>
      <c r="AB132" s="20" t="str">
        <f t="shared" ref="AB132:AB163" ca="1" si="74">IF(A132="","",IF(P132="N.v.t","⚪",IF(OR(P132="Afgerond",P132="Goedgekeurd"),"🟢",IF(Z132=TRUE(),"🔴",IF(AA132=TRUE(),"🔴",IF(Y132=TRUE(),"🟠",IF(AND(F132="G-Schouw",J132=""),IF(P132="Ingediend","🟠",IF(AND(C132&lt;&gt;"",TODAY()&gt;C132-28),"🔴","🟠")),"🟢")))))))</f>
        <v/>
      </c>
      <c r="AC132" s="15"/>
      <c r="AD132" s="15"/>
      <c r="AE132" s="21"/>
      <c r="AF132" s="22"/>
    </row>
    <row r="133" spans="1:32" ht="15" customHeight="1" x14ac:dyDescent="0.3">
      <c r="A133" s="15"/>
      <c r="B133" s="17" t="str">
        <f t="shared" si="60"/>
        <v/>
      </c>
      <c r="C133" s="38" t="str">
        <f t="shared" si="61"/>
        <v/>
      </c>
      <c r="D133" s="17" t="str">
        <f t="shared" si="62"/>
        <v/>
      </c>
      <c r="E133" s="17" t="str">
        <f t="shared" si="63"/>
        <v/>
      </c>
      <c r="F133" s="15"/>
      <c r="G133" s="15"/>
      <c r="H133" s="15"/>
      <c r="I133" s="17" t="str">
        <f t="shared" si="64"/>
        <v/>
      </c>
      <c r="J133" s="18" t="str">
        <f>IFERROR(IF(I133="","",VLOOKUP(I133,Normtijden_Config!$A$4:$S$55,7,FALSE())),"")</f>
        <v/>
      </c>
      <c r="K133" s="17" t="str">
        <f>IFERROR(IF(I133="","",VLOOKUP(I133,Normtijden_Config!$A$4:$S$55,8,FALSE())),"")</f>
        <v/>
      </c>
      <c r="L133" s="18" t="str">
        <f>IF(I133="","",IFERROR(  IF(VLOOKUP(I133,Normtijden_Config!$A$4:$S$55,9,FALSE())&lt;&gt;"",     VLOOKUP(I133,Normtijden_Config!$A$4:$S$55,9,FALSE()),     IFERROR(-INDEX(tbl_Offsets_Wd,MATCH(K133&amp;"|"&amp;D133&amp;"|"&amp;E133,tbl_Offsets_Key,0)),"")),""))</f>
        <v/>
      </c>
      <c r="M133" s="17" t="str">
        <f>IFERROR(IF(I133="","",VLOOKUP(I133,Normtijden_Config!$A$4:$S$55,10,FALSE())),"")</f>
        <v/>
      </c>
      <c r="N133" s="17" t="str">
        <f>IFERROR(IF(I133="","",VLOOKUP(I133,Normtijden_Config!$A$4:$S$55,11,FALSE())),"")</f>
        <v/>
      </c>
      <c r="O133" s="15"/>
      <c r="P133" s="15"/>
      <c r="Q133" s="39"/>
      <c r="R133" s="39"/>
      <c r="S133" s="38" t="str">
        <f t="shared" si="65"/>
        <v/>
      </c>
      <c r="T133" s="38" t="str">
        <f t="shared" si="66"/>
        <v/>
      </c>
      <c r="U133" s="38" t="str">
        <f t="shared" ca="1" si="67"/>
        <v/>
      </c>
      <c r="V133" s="38">
        <f t="shared" ca="1" si="68"/>
        <v>0</v>
      </c>
      <c r="W133" s="18" t="str">
        <f t="shared" ca="1" si="69"/>
        <v>n.v.t.</v>
      </c>
      <c r="X133" s="17" t="str">
        <f t="shared" ca="1" si="70"/>
        <v>ONBEKEND</v>
      </c>
      <c r="Y133" s="17" t="b">
        <f t="shared" ca="1" si="71"/>
        <v>0</v>
      </c>
      <c r="Z133" s="17" t="b">
        <f t="shared" si="72"/>
        <v>0</v>
      </c>
      <c r="AA133" s="17" t="b">
        <f t="shared" ca="1" si="73"/>
        <v>0</v>
      </c>
      <c r="AB133" s="20" t="str">
        <f t="shared" ca="1" si="74"/>
        <v/>
      </c>
      <c r="AC133" s="15"/>
      <c r="AD133" s="15"/>
      <c r="AE133" s="21"/>
      <c r="AF133" s="22"/>
    </row>
    <row r="134" spans="1:32" ht="15" customHeight="1" x14ac:dyDescent="0.3">
      <c r="A134" s="15"/>
      <c r="B134" s="17" t="str">
        <f t="shared" si="60"/>
        <v/>
      </c>
      <c r="C134" s="38" t="str">
        <f t="shared" si="61"/>
        <v/>
      </c>
      <c r="D134" s="17" t="str">
        <f t="shared" si="62"/>
        <v/>
      </c>
      <c r="E134" s="17" t="str">
        <f t="shared" si="63"/>
        <v/>
      </c>
      <c r="F134" s="15"/>
      <c r="G134" s="15"/>
      <c r="H134" s="15"/>
      <c r="I134" s="17" t="str">
        <f t="shared" si="64"/>
        <v/>
      </c>
      <c r="J134" s="18" t="str">
        <f>IFERROR(IF(I134="","",VLOOKUP(I134,Normtijden_Config!$A$4:$S$55,7,FALSE())),"")</f>
        <v/>
      </c>
      <c r="K134" s="17" t="str">
        <f>IFERROR(IF(I134="","",VLOOKUP(I134,Normtijden_Config!$A$4:$S$55,8,FALSE())),"")</f>
        <v/>
      </c>
      <c r="L134" s="18" t="str">
        <f>IF(I134="","",IFERROR(  IF(VLOOKUP(I134,Normtijden_Config!$A$4:$S$55,9,FALSE())&lt;&gt;"",     VLOOKUP(I134,Normtijden_Config!$A$4:$S$55,9,FALSE()),     IFERROR(-INDEX(tbl_Offsets_Wd,MATCH(K134&amp;"|"&amp;D134&amp;"|"&amp;E134,tbl_Offsets_Key,0)),"")),""))</f>
        <v/>
      </c>
      <c r="M134" s="17" t="str">
        <f>IFERROR(IF(I134="","",VLOOKUP(I134,Normtijden_Config!$A$4:$S$55,10,FALSE())),"")</f>
        <v/>
      </c>
      <c r="N134" s="17" t="str">
        <f>IFERROR(IF(I134="","",VLOOKUP(I134,Normtijden_Config!$A$4:$S$55,11,FALSE())),"")</f>
        <v/>
      </c>
      <c r="O134" s="15"/>
      <c r="P134" s="15"/>
      <c r="Q134" s="39"/>
      <c r="R134" s="39"/>
      <c r="S134" s="38" t="str">
        <f t="shared" si="65"/>
        <v/>
      </c>
      <c r="T134" s="38" t="str">
        <f t="shared" si="66"/>
        <v/>
      </c>
      <c r="U134" s="38" t="str">
        <f t="shared" ca="1" si="67"/>
        <v/>
      </c>
      <c r="V134" s="38">
        <f t="shared" ca="1" si="68"/>
        <v>0</v>
      </c>
      <c r="W134" s="18" t="str">
        <f t="shared" ca="1" si="69"/>
        <v>n.v.t.</v>
      </c>
      <c r="X134" s="17" t="str">
        <f t="shared" ca="1" si="70"/>
        <v>ONBEKEND</v>
      </c>
      <c r="Y134" s="17" t="b">
        <f t="shared" ca="1" si="71"/>
        <v>0</v>
      </c>
      <c r="Z134" s="17" t="b">
        <f t="shared" si="72"/>
        <v>0</v>
      </c>
      <c r="AA134" s="17" t="b">
        <f t="shared" ca="1" si="73"/>
        <v>0</v>
      </c>
      <c r="AB134" s="20" t="str">
        <f t="shared" ca="1" si="74"/>
        <v/>
      </c>
      <c r="AC134" s="15"/>
      <c r="AD134" s="15"/>
      <c r="AE134" s="21"/>
      <c r="AF134" s="22"/>
    </row>
    <row r="135" spans="1:32" ht="15" customHeight="1" x14ac:dyDescent="0.3">
      <c r="A135" s="15"/>
      <c r="B135" s="17" t="str">
        <f t="shared" si="60"/>
        <v/>
      </c>
      <c r="C135" s="38" t="str">
        <f t="shared" si="61"/>
        <v/>
      </c>
      <c r="D135" s="17" t="str">
        <f t="shared" si="62"/>
        <v/>
      </c>
      <c r="E135" s="17" t="str">
        <f t="shared" si="63"/>
        <v/>
      </c>
      <c r="F135" s="15"/>
      <c r="G135" s="15"/>
      <c r="H135" s="15"/>
      <c r="I135" s="17" t="str">
        <f t="shared" si="64"/>
        <v/>
      </c>
      <c r="J135" s="18" t="str">
        <f>IFERROR(IF(I135="","",VLOOKUP(I135,Normtijden_Config!$A$4:$S$55,7,FALSE())),"")</f>
        <v/>
      </c>
      <c r="K135" s="17" t="str">
        <f>IFERROR(IF(I135="","",VLOOKUP(I135,Normtijden_Config!$A$4:$S$55,8,FALSE())),"")</f>
        <v/>
      </c>
      <c r="L135" s="18" t="str">
        <f>IF(I135="","",IFERROR(  IF(VLOOKUP(I135,Normtijden_Config!$A$4:$S$55,9,FALSE())&lt;&gt;"",     VLOOKUP(I135,Normtijden_Config!$A$4:$S$55,9,FALSE()),     IFERROR(-INDEX(tbl_Offsets_Wd,MATCH(K135&amp;"|"&amp;D135&amp;"|"&amp;E135,tbl_Offsets_Key,0)),"")),""))</f>
        <v/>
      </c>
      <c r="M135" s="17" t="str">
        <f>IFERROR(IF(I135="","",VLOOKUP(I135,Normtijden_Config!$A$4:$S$55,10,FALSE())),"")</f>
        <v/>
      </c>
      <c r="N135" s="17" t="str">
        <f>IFERROR(IF(I135="","",VLOOKUP(I135,Normtijden_Config!$A$4:$S$55,11,FALSE())),"")</f>
        <v/>
      </c>
      <c r="O135" s="15"/>
      <c r="P135" s="15"/>
      <c r="Q135" s="39"/>
      <c r="R135" s="39"/>
      <c r="S135" s="38" t="str">
        <f t="shared" si="65"/>
        <v/>
      </c>
      <c r="T135" s="38" t="str">
        <f t="shared" si="66"/>
        <v/>
      </c>
      <c r="U135" s="38" t="str">
        <f t="shared" ca="1" si="67"/>
        <v/>
      </c>
      <c r="V135" s="38">
        <f t="shared" ca="1" si="68"/>
        <v>0</v>
      </c>
      <c r="W135" s="18" t="str">
        <f t="shared" ca="1" si="69"/>
        <v>n.v.t.</v>
      </c>
      <c r="X135" s="17" t="str">
        <f t="shared" ca="1" si="70"/>
        <v>ONBEKEND</v>
      </c>
      <c r="Y135" s="17" t="b">
        <f t="shared" ca="1" si="71"/>
        <v>0</v>
      </c>
      <c r="Z135" s="17" t="b">
        <f t="shared" si="72"/>
        <v>0</v>
      </c>
      <c r="AA135" s="17" t="b">
        <f t="shared" ca="1" si="73"/>
        <v>0</v>
      </c>
      <c r="AB135" s="20" t="str">
        <f t="shared" ca="1" si="74"/>
        <v/>
      </c>
      <c r="AC135" s="15"/>
      <c r="AD135" s="15"/>
      <c r="AE135" s="21"/>
      <c r="AF135" s="22"/>
    </row>
    <row r="136" spans="1:32" ht="15" customHeight="1" x14ac:dyDescent="0.3">
      <c r="A136" s="15"/>
      <c r="B136" s="17" t="str">
        <f t="shared" si="60"/>
        <v/>
      </c>
      <c r="C136" s="38" t="str">
        <f t="shared" si="61"/>
        <v/>
      </c>
      <c r="D136" s="17" t="str">
        <f t="shared" si="62"/>
        <v/>
      </c>
      <c r="E136" s="17" t="str">
        <f t="shared" si="63"/>
        <v/>
      </c>
      <c r="F136" s="15"/>
      <c r="G136" s="15"/>
      <c r="H136" s="15"/>
      <c r="I136" s="17" t="str">
        <f t="shared" si="64"/>
        <v/>
      </c>
      <c r="J136" s="18" t="str">
        <f>IFERROR(IF(I136="","",VLOOKUP(I136,Normtijden_Config!$A$4:$S$55,7,FALSE())),"")</f>
        <v/>
      </c>
      <c r="K136" s="17" t="str">
        <f>IFERROR(IF(I136="","",VLOOKUP(I136,Normtijden_Config!$A$4:$S$55,8,FALSE())),"")</f>
        <v/>
      </c>
      <c r="L136" s="18" t="str">
        <f>IF(I136="","",IFERROR(  IF(VLOOKUP(I136,Normtijden_Config!$A$4:$S$55,9,FALSE())&lt;&gt;"",     VLOOKUP(I136,Normtijden_Config!$A$4:$S$55,9,FALSE()),     IFERROR(-INDEX(tbl_Offsets_Wd,MATCH(K136&amp;"|"&amp;D136&amp;"|"&amp;E136,tbl_Offsets_Key,0)),"")),""))</f>
        <v/>
      </c>
      <c r="M136" s="17" t="str">
        <f>IFERROR(IF(I136="","",VLOOKUP(I136,Normtijden_Config!$A$4:$S$55,10,FALSE())),"")</f>
        <v/>
      </c>
      <c r="N136" s="17" t="str">
        <f>IFERROR(IF(I136="","",VLOOKUP(I136,Normtijden_Config!$A$4:$S$55,11,FALSE())),"")</f>
        <v/>
      </c>
      <c r="O136" s="15"/>
      <c r="P136" s="15"/>
      <c r="Q136" s="39"/>
      <c r="R136" s="39"/>
      <c r="S136" s="38" t="str">
        <f t="shared" si="65"/>
        <v/>
      </c>
      <c r="T136" s="38" t="str">
        <f t="shared" si="66"/>
        <v/>
      </c>
      <c r="U136" s="38" t="str">
        <f t="shared" ca="1" si="67"/>
        <v/>
      </c>
      <c r="V136" s="38">
        <f t="shared" ca="1" si="68"/>
        <v>0</v>
      </c>
      <c r="W136" s="18" t="str">
        <f t="shared" ca="1" si="69"/>
        <v>n.v.t.</v>
      </c>
      <c r="X136" s="17" t="str">
        <f t="shared" ca="1" si="70"/>
        <v>ONBEKEND</v>
      </c>
      <c r="Y136" s="17" t="b">
        <f t="shared" ca="1" si="71"/>
        <v>0</v>
      </c>
      <c r="Z136" s="17" t="b">
        <f t="shared" si="72"/>
        <v>0</v>
      </c>
      <c r="AA136" s="17" t="b">
        <f t="shared" ca="1" si="73"/>
        <v>0</v>
      </c>
      <c r="AB136" s="20" t="str">
        <f t="shared" ca="1" si="74"/>
        <v/>
      </c>
      <c r="AC136" s="15"/>
      <c r="AD136" s="15"/>
      <c r="AE136" s="21"/>
      <c r="AF136" s="22"/>
    </row>
    <row r="137" spans="1:32" ht="15" customHeight="1" x14ac:dyDescent="0.3">
      <c r="A137" s="15"/>
      <c r="B137" s="17" t="str">
        <f t="shared" si="60"/>
        <v/>
      </c>
      <c r="C137" s="38" t="str">
        <f t="shared" si="61"/>
        <v/>
      </c>
      <c r="D137" s="17" t="str">
        <f t="shared" si="62"/>
        <v/>
      </c>
      <c r="E137" s="17" t="str">
        <f t="shared" si="63"/>
        <v/>
      </c>
      <c r="F137" s="15"/>
      <c r="G137" s="15"/>
      <c r="H137" s="15"/>
      <c r="I137" s="17" t="str">
        <f t="shared" si="64"/>
        <v/>
      </c>
      <c r="J137" s="18" t="str">
        <f>IFERROR(IF(I137="","",VLOOKUP(I137,Normtijden_Config!$A$4:$S$55,7,FALSE())),"")</f>
        <v/>
      </c>
      <c r="K137" s="17" t="str">
        <f>IFERROR(IF(I137="","",VLOOKUP(I137,Normtijden_Config!$A$4:$S$55,8,FALSE())),"")</f>
        <v/>
      </c>
      <c r="L137" s="18" t="str">
        <f>IF(I137="","",IFERROR(  IF(VLOOKUP(I137,Normtijden_Config!$A$4:$S$55,9,FALSE())&lt;&gt;"",     VLOOKUP(I137,Normtijden_Config!$A$4:$S$55,9,FALSE()),     IFERROR(-INDEX(tbl_Offsets_Wd,MATCH(K137&amp;"|"&amp;D137&amp;"|"&amp;E137,tbl_Offsets_Key,0)),"")),""))</f>
        <v/>
      </c>
      <c r="M137" s="17" t="str">
        <f>IFERROR(IF(I137="","",VLOOKUP(I137,Normtijden_Config!$A$4:$S$55,10,FALSE())),"")</f>
        <v/>
      </c>
      <c r="N137" s="17" t="str">
        <f>IFERROR(IF(I137="","",VLOOKUP(I137,Normtijden_Config!$A$4:$S$55,11,FALSE())),"")</f>
        <v/>
      </c>
      <c r="O137" s="15"/>
      <c r="P137" s="15"/>
      <c r="Q137" s="39"/>
      <c r="R137" s="39"/>
      <c r="S137" s="38" t="str">
        <f t="shared" si="65"/>
        <v/>
      </c>
      <c r="T137" s="38" t="str">
        <f t="shared" si="66"/>
        <v/>
      </c>
      <c r="U137" s="38" t="str">
        <f t="shared" ca="1" si="67"/>
        <v/>
      </c>
      <c r="V137" s="38">
        <f t="shared" ca="1" si="68"/>
        <v>0</v>
      </c>
      <c r="W137" s="18" t="str">
        <f t="shared" ca="1" si="69"/>
        <v>n.v.t.</v>
      </c>
      <c r="X137" s="17" t="str">
        <f t="shared" ca="1" si="70"/>
        <v>ONBEKEND</v>
      </c>
      <c r="Y137" s="17" t="b">
        <f t="shared" ca="1" si="71"/>
        <v>0</v>
      </c>
      <c r="Z137" s="17" t="b">
        <f t="shared" si="72"/>
        <v>0</v>
      </c>
      <c r="AA137" s="17" t="b">
        <f t="shared" ca="1" si="73"/>
        <v>0</v>
      </c>
      <c r="AB137" s="20" t="str">
        <f t="shared" ca="1" si="74"/>
        <v/>
      </c>
      <c r="AC137" s="15"/>
      <c r="AD137" s="15"/>
      <c r="AE137" s="21"/>
      <c r="AF137" s="22"/>
    </row>
    <row r="138" spans="1:32" ht="15" customHeight="1" x14ac:dyDescent="0.3">
      <c r="A138" s="15"/>
      <c r="B138" s="17" t="str">
        <f t="shared" si="60"/>
        <v/>
      </c>
      <c r="C138" s="38" t="str">
        <f t="shared" si="61"/>
        <v/>
      </c>
      <c r="D138" s="17" t="str">
        <f t="shared" si="62"/>
        <v/>
      </c>
      <c r="E138" s="17" t="str">
        <f t="shared" si="63"/>
        <v/>
      </c>
      <c r="F138" s="15"/>
      <c r="G138" s="15"/>
      <c r="H138" s="15"/>
      <c r="I138" s="17" t="str">
        <f t="shared" si="64"/>
        <v/>
      </c>
      <c r="J138" s="18" t="str">
        <f>IFERROR(IF(I138="","",VLOOKUP(I138,Normtijden_Config!$A$4:$S$55,7,FALSE())),"")</f>
        <v/>
      </c>
      <c r="K138" s="17" t="str">
        <f>IFERROR(IF(I138="","",VLOOKUP(I138,Normtijden_Config!$A$4:$S$55,8,FALSE())),"")</f>
        <v/>
      </c>
      <c r="L138" s="18" t="str">
        <f>IF(I138="","",IFERROR(  IF(VLOOKUP(I138,Normtijden_Config!$A$4:$S$55,9,FALSE())&lt;&gt;"",     VLOOKUP(I138,Normtijden_Config!$A$4:$S$55,9,FALSE()),     IFERROR(-INDEX(tbl_Offsets_Wd,MATCH(K138&amp;"|"&amp;D138&amp;"|"&amp;E138,tbl_Offsets_Key,0)),"")),""))</f>
        <v/>
      </c>
      <c r="M138" s="17" t="str">
        <f>IFERROR(IF(I138="","",VLOOKUP(I138,Normtijden_Config!$A$4:$S$55,10,FALSE())),"")</f>
        <v/>
      </c>
      <c r="N138" s="17" t="str">
        <f>IFERROR(IF(I138="","",VLOOKUP(I138,Normtijden_Config!$A$4:$S$55,11,FALSE())),"")</f>
        <v/>
      </c>
      <c r="O138" s="15"/>
      <c r="P138" s="15"/>
      <c r="Q138" s="39"/>
      <c r="R138" s="39"/>
      <c r="S138" s="38" t="str">
        <f t="shared" si="65"/>
        <v/>
      </c>
      <c r="T138" s="38" t="str">
        <f t="shared" si="66"/>
        <v/>
      </c>
      <c r="U138" s="38" t="str">
        <f t="shared" ca="1" si="67"/>
        <v/>
      </c>
      <c r="V138" s="38">
        <f t="shared" ca="1" si="68"/>
        <v>0</v>
      </c>
      <c r="W138" s="18" t="str">
        <f t="shared" ca="1" si="69"/>
        <v>n.v.t.</v>
      </c>
      <c r="X138" s="17" t="str">
        <f t="shared" ca="1" si="70"/>
        <v>ONBEKEND</v>
      </c>
      <c r="Y138" s="17" t="b">
        <f t="shared" ca="1" si="71"/>
        <v>0</v>
      </c>
      <c r="Z138" s="17" t="b">
        <f t="shared" si="72"/>
        <v>0</v>
      </c>
      <c r="AA138" s="17" t="b">
        <f t="shared" ca="1" si="73"/>
        <v>0</v>
      </c>
      <c r="AB138" s="20" t="str">
        <f t="shared" ca="1" si="74"/>
        <v/>
      </c>
      <c r="AC138" s="15"/>
      <c r="AD138" s="15"/>
      <c r="AE138" s="21"/>
      <c r="AF138" s="22"/>
    </row>
    <row r="139" spans="1:32" ht="15" customHeight="1" x14ac:dyDescent="0.3">
      <c r="A139" s="15"/>
      <c r="B139" s="17" t="str">
        <f t="shared" si="60"/>
        <v/>
      </c>
      <c r="C139" s="38" t="str">
        <f t="shared" si="61"/>
        <v/>
      </c>
      <c r="D139" s="17" t="str">
        <f t="shared" si="62"/>
        <v/>
      </c>
      <c r="E139" s="17" t="str">
        <f t="shared" si="63"/>
        <v/>
      </c>
      <c r="F139" s="15"/>
      <c r="G139" s="15"/>
      <c r="H139" s="15"/>
      <c r="I139" s="17" t="str">
        <f t="shared" si="64"/>
        <v/>
      </c>
      <c r="J139" s="18" t="str">
        <f>IFERROR(IF(I139="","",VLOOKUP(I139,Normtijden_Config!$A$4:$S$55,7,FALSE())),"")</f>
        <v/>
      </c>
      <c r="K139" s="17" t="str">
        <f>IFERROR(IF(I139="","",VLOOKUP(I139,Normtijden_Config!$A$4:$S$55,8,FALSE())),"")</f>
        <v/>
      </c>
      <c r="L139" s="18" t="str">
        <f>IF(I139="","",IFERROR(  IF(VLOOKUP(I139,Normtijden_Config!$A$4:$S$55,9,FALSE())&lt;&gt;"",     VLOOKUP(I139,Normtijden_Config!$A$4:$S$55,9,FALSE()),     IFERROR(-INDEX(tbl_Offsets_Wd,MATCH(K139&amp;"|"&amp;D139&amp;"|"&amp;E139,tbl_Offsets_Key,0)),"")),""))</f>
        <v/>
      </c>
      <c r="M139" s="17" t="str">
        <f>IFERROR(IF(I139="","",VLOOKUP(I139,Normtijden_Config!$A$4:$S$55,10,FALSE())),"")</f>
        <v/>
      </c>
      <c r="N139" s="17" t="str">
        <f>IFERROR(IF(I139="","",VLOOKUP(I139,Normtijden_Config!$A$4:$S$55,11,FALSE())),"")</f>
        <v/>
      </c>
      <c r="O139" s="15"/>
      <c r="P139" s="15"/>
      <c r="Q139" s="39"/>
      <c r="R139" s="39"/>
      <c r="S139" s="38" t="str">
        <f t="shared" si="65"/>
        <v/>
      </c>
      <c r="T139" s="38" t="str">
        <f t="shared" si="66"/>
        <v/>
      </c>
      <c r="U139" s="38" t="str">
        <f t="shared" ca="1" si="67"/>
        <v/>
      </c>
      <c r="V139" s="38">
        <f t="shared" ca="1" si="68"/>
        <v>0</v>
      </c>
      <c r="W139" s="18" t="str">
        <f t="shared" ca="1" si="69"/>
        <v>n.v.t.</v>
      </c>
      <c r="X139" s="17" t="str">
        <f t="shared" ca="1" si="70"/>
        <v>ONBEKEND</v>
      </c>
      <c r="Y139" s="17" t="b">
        <f t="shared" ca="1" si="71"/>
        <v>0</v>
      </c>
      <c r="Z139" s="17" t="b">
        <f t="shared" si="72"/>
        <v>0</v>
      </c>
      <c r="AA139" s="17" t="b">
        <f t="shared" ca="1" si="73"/>
        <v>0</v>
      </c>
      <c r="AB139" s="20" t="str">
        <f t="shared" ca="1" si="74"/>
        <v/>
      </c>
      <c r="AC139" s="15"/>
      <c r="AD139" s="15"/>
      <c r="AE139" s="21"/>
      <c r="AF139" s="22"/>
    </row>
    <row r="140" spans="1:32" ht="15" customHeight="1" x14ac:dyDescent="0.3">
      <c r="A140" s="15"/>
      <c r="B140" s="17" t="str">
        <f t="shared" si="60"/>
        <v/>
      </c>
      <c r="C140" s="38" t="str">
        <f t="shared" si="61"/>
        <v/>
      </c>
      <c r="D140" s="17" t="str">
        <f t="shared" si="62"/>
        <v/>
      </c>
      <c r="E140" s="17" t="str">
        <f t="shared" si="63"/>
        <v/>
      </c>
      <c r="F140" s="15"/>
      <c r="G140" s="15"/>
      <c r="H140" s="15"/>
      <c r="I140" s="17" t="str">
        <f t="shared" si="64"/>
        <v/>
      </c>
      <c r="J140" s="18" t="str">
        <f>IFERROR(IF(I140="","",VLOOKUP(I140,Normtijden_Config!$A$4:$S$55,7,FALSE())),"")</f>
        <v/>
      </c>
      <c r="K140" s="17" t="str">
        <f>IFERROR(IF(I140="","",VLOOKUP(I140,Normtijden_Config!$A$4:$S$55,8,FALSE())),"")</f>
        <v/>
      </c>
      <c r="L140" s="18" t="str">
        <f>IF(I140="","",IFERROR(  IF(VLOOKUP(I140,Normtijden_Config!$A$4:$S$55,9,FALSE())&lt;&gt;"",     VLOOKUP(I140,Normtijden_Config!$A$4:$S$55,9,FALSE()),     IFERROR(-INDEX(tbl_Offsets_Wd,MATCH(K140&amp;"|"&amp;D140&amp;"|"&amp;E140,tbl_Offsets_Key,0)),"")),""))</f>
        <v/>
      </c>
      <c r="M140" s="17" t="str">
        <f>IFERROR(IF(I140="","",VLOOKUP(I140,Normtijden_Config!$A$4:$S$55,10,FALSE())),"")</f>
        <v/>
      </c>
      <c r="N140" s="17" t="str">
        <f>IFERROR(IF(I140="","",VLOOKUP(I140,Normtijden_Config!$A$4:$S$55,11,FALSE())),"")</f>
        <v/>
      </c>
      <c r="O140" s="15"/>
      <c r="P140" s="15"/>
      <c r="Q140" s="39"/>
      <c r="R140" s="39"/>
      <c r="S140" s="38" t="str">
        <f t="shared" si="65"/>
        <v/>
      </c>
      <c r="T140" s="38" t="str">
        <f t="shared" si="66"/>
        <v/>
      </c>
      <c r="U140" s="38" t="str">
        <f t="shared" ca="1" si="67"/>
        <v/>
      </c>
      <c r="V140" s="38">
        <f t="shared" ca="1" si="68"/>
        <v>0</v>
      </c>
      <c r="W140" s="18" t="str">
        <f t="shared" ca="1" si="69"/>
        <v>n.v.t.</v>
      </c>
      <c r="X140" s="17" t="str">
        <f t="shared" ca="1" si="70"/>
        <v>ONBEKEND</v>
      </c>
      <c r="Y140" s="17" t="b">
        <f t="shared" ca="1" si="71"/>
        <v>0</v>
      </c>
      <c r="Z140" s="17" t="b">
        <f t="shared" si="72"/>
        <v>0</v>
      </c>
      <c r="AA140" s="17" t="b">
        <f t="shared" ca="1" si="73"/>
        <v>0</v>
      </c>
      <c r="AB140" s="20" t="str">
        <f t="shared" ca="1" si="74"/>
        <v/>
      </c>
      <c r="AC140" s="15"/>
      <c r="AD140" s="15"/>
      <c r="AE140" s="21"/>
      <c r="AF140" s="22"/>
    </row>
    <row r="141" spans="1:32" ht="15" customHeight="1" x14ac:dyDescent="0.3">
      <c r="A141" s="15"/>
      <c r="B141" s="17" t="str">
        <f t="shared" si="60"/>
        <v/>
      </c>
      <c r="C141" s="38" t="str">
        <f t="shared" si="61"/>
        <v/>
      </c>
      <c r="D141" s="17" t="str">
        <f t="shared" si="62"/>
        <v/>
      </c>
      <c r="E141" s="17" t="str">
        <f t="shared" si="63"/>
        <v/>
      </c>
      <c r="F141" s="15"/>
      <c r="G141" s="15"/>
      <c r="H141" s="15"/>
      <c r="I141" s="17" t="str">
        <f t="shared" si="64"/>
        <v/>
      </c>
      <c r="J141" s="18" t="str">
        <f>IFERROR(IF(I141="","",VLOOKUP(I141,Normtijden_Config!$A$4:$S$55,7,FALSE())),"")</f>
        <v/>
      </c>
      <c r="K141" s="17" t="str">
        <f>IFERROR(IF(I141="","",VLOOKUP(I141,Normtijden_Config!$A$4:$S$55,8,FALSE())),"")</f>
        <v/>
      </c>
      <c r="L141" s="18" t="str">
        <f>IF(I141="","",IFERROR(  IF(VLOOKUP(I141,Normtijden_Config!$A$4:$S$55,9,FALSE())&lt;&gt;"",     VLOOKUP(I141,Normtijden_Config!$A$4:$S$55,9,FALSE()),     IFERROR(-INDEX(tbl_Offsets_Wd,MATCH(K141&amp;"|"&amp;D141&amp;"|"&amp;E141,tbl_Offsets_Key,0)),"")),""))</f>
        <v/>
      </c>
      <c r="M141" s="17" t="str">
        <f>IFERROR(IF(I141="","",VLOOKUP(I141,Normtijden_Config!$A$4:$S$55,10,FALSE())),"")</f>
        <v/>
      </c>
      <c r="N141" s="17" t="str">
        <f>IFERROR(IF(I141="","",VLOOKUP(I141,Normtijden_Config!$A$4:$S$55,11,FALSE())),"")</f>
        <v/>
      </c>
      <c r="O141" s="15"/>
      <c r="P141" s="15"/>
      <c r="Q141" s="39"/>
      <c r="R141" s="39"/>
      <c r="S141" s="38" t="str">
        <f t="shared" si="65"/>
        <v/>
      </c>
      <c r="T141" s="38" t="str">
        <f t="shared" si="66"/>
        <v/>
      </c>
      <c r="U141" s="38" t="str">
        <f t="shared" ca="1" si="67"/>
        <v/>
      </c>
      <c r="V141" s="38">
        <f t="shared" ca="1" si="68"/>
        <v>0</v>
      </c>
      <c r="W141" s="18" t="str">
        <f t="shared" ca="1" si="69"/>
        <v>n.v.t.</v>
      </c>
      <c r="X141" s="17" t="str">
        <f t="shared" ca="1" si="70"/>
        <v>ONBEKEND</v>
      </c>
      <c r="Y141" s="17" t="b">
        <f t="shared" ca="1" si="71"/>
        <v>0</v>
      </c>
      <c r="Z141" s="17" t="b">
        <f t="shared" si="72"/>
        <v>0</v>
      </c>
      <c r="AA141" s="17" t="b">
        <f t="shared" ca="1" si="73"/>
        <v>0</v>
      </c>
      <c r="AB141" s="20" t="str">
        <f t="shared" ca="1" si="74"/>
        <v/>
      </c>
      <c r="AC141" s="15"/>
      <c r="AD141" s="15"/>
      <c r="AE141" s="21"/>
      <c r="AF141" s="22"/>
    </row>
    <row r="142" spans="1:32" ht="15" customHeight="1" x14ac:dyDescent="0.3">
      <c r="A142" s="15"/>
      <c r="B142" s="17" t="str">
        <f t="shared" si="60"/>
        <v/>
      </c>
      <c r="C142" s="38" t="str">
        <f t="shared" si="61"/>
        <v/>
      </c>
      <c r="D142" s="17" t="str">
        <f t="shared" si="62"/>
        <v/>
      </c>
      <c r="E142" s="17" t="str">
        <f t="shared" si="63"/>
        <v/>
      </c>
      <c r="F142" s="15"/>
      <c r="G142" s="15"/>
      <c r="H142" s="15"/>
      <c r="I142" s="17" t="str">
        <f t="shared" si="64"/>
        <v/>
      </c>
      <c r="J142" s="18" t="str">
        <f>IFERROR(IF(I142="","",VLOOKUP(I142,Normtijden_Config!$A$4:$S$55,7,FALSE())),"")</f>
        <v/>
      </c>
      <c r="K142" s="17" t="str">
        <f>IFERROR(IF(I142="","",VLOOKUP(I142,Normtijden_Config!$A$4:$S$55,8,FALSE())),"")</f>
        <v/>
      </c>
      <c r="L142" s="18" t="str">
        <f>IF(I142="","",IFERROR(  IF(VLOOKUP(I142,Normtijden_Config!$A$4:$S$55,9,FALSE())&lt;&gt;"",     VLOOKUP(I142,Normtijden_Config!$A$4:$S$55,9,FALSE()),     IFERROR(-INDEX(tbl_Offsets_Wd,MATCH(K142&amp;"|"&amp;D142&amp;"|"&amp;E142,tbl_Offsets_Key,0)),"")),""))</f>
        <v/>
      </c>
      <c r="M142" s="17" t="str">
        <f>IFERROR(IF(I142="","",VLOOKUP(I142,Normtijden_Config!$A$4:$S$55,10,FALSE())),"")</f>
        <v/>
      </c>
      <c r="N142" s="17" t="str">
        <f>IFERROR(IF(I142="","",VLOOKUP(I142,Normtijden_Config!$A$4:$S$55,11,FALSE())),"")</f>
        <v/>
      </c>
      <c r="O142" s="15"/>
      <c r="P142" s="15"/>
      <c r="Q142" s="39"/>
      <c r="R142" s="39"/>
      <c r="S142" s="38" t="str">
        <f t="shared" si="65"/>
        <v/>
      </c>
      <c r="T142" s="38" t="str">
        <f t="shared" si="66"/>
        <v/>
      </c>
      <c r="U142" s="38" t="str">
        <f t="shared" ca="1" si="67"/>
        <v/>
      </c>
      <c r="V142" s="38">
        <f t="shared" ca="1" si="68"/>
        <v>0</v>
      </c>
      <c r="W142" s="18" t="str">
        <f t="shared" ca="1" si="69"/>
        <v>n.v.t.</v>
      </c>
      <c r="X142" s="17" t="str">
        <f t="shared" ca="1" si="70"/>
        <v>ONBEKEND</v>
      </c>
      <c r="Y142" s="17" t="b">
        <f t="shared" ca="1" si="71"/>
        <v>0</v>
      </c>
      <c r="Z142" s="17" t="b">
        <f t="shared" si="72"/>
        <v>0</v>
      </c>
      <c r="AA142" s="17" t="b">
        <f t="shared" ca="1" si="73"/>
        <v>0</v>
      </c>
      <c r="AB142" s="20" t="str">
        <f t="shared" ca="1" si="74"/>
        <v/>
      </c>
      <c r="AC142" s="15"/>
      <c r="AD142" s="15"/>
      <c r="AE142" s="21"/>
      <c r="AF142" s="22"/>
    </row>
    <row r="143" spans="1:32" ht="15" customHeight="1" x14ac:dyDescent="0.3">
      <c r="A143" s="15"/>
      <c r="B143" s="17" t="str">
        <f t="shared" si="60"/>
        <v/>
      </c>
      <c r="C143" s="38" t="str">
        <f t="shared" si="61"/>
        <v/>
      </c>
      <c r="D143" s="17" t="str">
        <f t="shared" si="62"/>
        <v/>
      </c>
      <c r="E143" s="17" t="str">
        <f t="shared" si="63"/>
        <v/>
      </c>
      <c r="F143" s="15"/>
      <c r="G143" s="15"/>
      <c r="H143" s="15"/>
      <c r="I143" s="17" t="str">
        <f t="shared" si="64"/>
        <v/>
      </c>
      <c r="J143" s="18" t="str">
        <f>IFERROR(IF(I143="","",VLOOKUP(I143,Normtijden_Config!$A$4:$S$55,7,FALSE())),"")</f>
        <v/>
      </c>
      <c r="K143" s="17" t="str">
        <f>IFERROR(IF(I143="","",VLOOKUP(I143,Normtijden_Config!$A$4:$S$55,8,FALSE())),"")</f>
        <v/>
      </c>
      <c r="L143" s="18" t="str">
        <f>IF(I143="","",IFERROR(  IF(VLOOKUP(I143,Normtijden_Config!$A$4:$S$55,9,FALSE())&lt;&gt;"",     VLOOKUP(I143,Normtijden_Config!$A$4:$S$55,9,FALSE()),     IFERROR(-INDEX(tbl_Offsets_Wd,MATCH(K143&amp;"|"&amp;D143&amp;"|"&amp;E143,tbl_Offsets_Key,0)),"")),""))</f>
        <v/>
      </c>
      <c r="M143" s="17" t="str">
        <f>IFERROR(IF(I143="","",VLOOKUP(I143,Normtijden_Config!$A$4:$S$55,10,FALSE())),"")</f>
        <v/>
      </c>
      <c r="N143" s="17" t="str">
        <f>IFERROR(IF(I143="","",VLOOKUP(I143,Normtijden_Config!$A$4:$S$55,11,FALSE())),"")</f>
        <v/>
      </c>
      <c r="O143" s="15"/>
      <c r="P143" s="15"/>
      <c r="Q143" s="39"/>
      <c r="R143" s="39"/>
      <c r="S143" s="38" t="str">
        <f t="shared" si="65"/>
        <v/>
      </c>
      <c r="T143" s="38" t="str">
        <f t="shared" si="66"/>
        <v/>
      </c>
      <c r="U143" s="38" t="str">
        <f t="shared" ca="1" si="67"/>
        <v/>
      </c>
      <c r="V143" s="38">
        <f t="shared" ca="1" si="68"/>
        <v>0</v>
      </c>
      <c r="W143" s="18" t="str">
        <f t="shared" ca="1" si="69"/>
        <v>n.v.t.</v>
      </c>
      <c r="X143" s="17" t="str">
        <f t="shared" ca="1" si="70"/>
        <v>ONBEKEND</v>
      </c>
      <c r="Y143" s="17" t="b">
        <f t="shared" ca="1" si="71"/>
        <v>0</v>
      </c>
      <c r="Z143" s="17" t="b">
        <f t="shared" si="72"/>
        <v>0</v>
      </c>
      <c r="AA143" s="17" t="b">
        <f t="shared" ca="1" si="73"/>
        <v>0</v>
      </c>
      <c r="AB143" s="20" t="str">
        <f t="shared" ca="1" si="74"/>
        <v/>
      </c>
      <c r="AC143" s="15"/>
      <c r="AD143" s="15"/>
      <c r="AE143" s="21"/>
      <c r="AF143" s="22"/>
    </row>
    <row r="144" spans="1:32" ht="15" customHeight="1" x14ac:dyDescent="0.3">
      <c r="A144" s="15"/>
      <c r="B144" s="17" t="str">
        <f t="shared" si="60"/>
        <v/>
      </c>
      <c r="C144" s="38" t="str">
        <f t="shared" si="61"/>
        <v/>
      </c>
      <c r="D144" s="17" t="str">
        <f t="shared" si="62"/>
        <v/>
      </c>
      <c r="E144" s="17" t="str">
        <f t="shared" si="63"/>
        <v/>
      </c>
      <c r="F144" s="15"/>
      <c r="G144" s="15"/>
      <c r="H144" s="15"/>
      <c r="I144" s="17" t="str">
        <f t="shared" si="64"/>
        <v/>
      </c>
      <c r="J144" s="18" t="str">
        <f>IFERROR(IF(I144="","",VLOOKUP(I144,Normtijden_Config!$A$4:$S$55,7,FALSE())),"")</f>
        <v/>
      </c>
      <c r="K144" s="17" t="str">
        <f>IFERROR(IF(I144="","",VLOOKUP(I144,Normtijden_Config!$A$4:$S$55,8,FALSE())),"")</f>
        <v/>
      </c>
      <c r="L144" s="18" t="str">
        <f>IF(I144="","",IFERROR(  IF(VLOOKUP(I144,Normtijden_Config!$A$4:$S$55,9,FALSE())&lt;&gt;"",     VLOOKUP(I144,Normtijden_Config!$A$4:$S$55,9,FALSE()),     IFERROR(-INDEX(tbl_Offsets_Wd,MATCH(K144&amp;"|"&amp;D144&amp;"|"&amp;E144,tbl_Offsets_Key,0)),"")),""))</f>
        <v/>
      </c>
      <c r="M144" s="17" t="str">
        <f>IFERROR(IF(I144="","",VLOOKUP(I144,Normtijden_Config!$A$4:$S$55,10,FALSE())),"")</f>
        <v/>
      </c>
      <c r="N144" s="17" t="str">
        <f>IFERROR(IF(I144="","",VLOOKUP(I144,Normtijden_Config!$A$4:$S$55,11,FALSE())),"")</f>
        <v/>
      </c>
      <c r="O144" s="15"/>
      <c r="P144" s="15"/>
      <c r="Q144" s="39"/>
      <c r="R144" s="39"/>
      <c r="S144" s="38" t="str">
        <f t="shared" si="65"/>
        <v/>
      </c>
      <c r="T144" s="38" t="str">
        <f t="shared" si="66"/>
        <v/>
      </c>
      <c r="U144" s="38" t="str">
        <f t="shared" ca="1" si="67"/>
        <v/>
      </c>
      <c r="V144" s="38">
        <f t="shared" ca="1" si="68"/>
        <v>0</v>
      </c>
      <c r="W144" s="18" t="str">
        <f t="shared" ca="1" si="69"/>
        <v>n.v.t.</v>
      </c>
      <c r="X144" s="17" t="str">
        <f t="shared" ca="1" si="70"/>
        <v>ONBEKEND</v>
      </c>
      <c r="Y144" s="17" t="b">
        <f t="shared" ca="1" si="71"/>
        <v>0</v>
      </c>
      <c r="Z144" s="17" t="b">
        <f t="shared" si="72"/>
        <v>0</v>
      </c>
      <c r="AA144" s="17" t="b">
        <f t="shared" ca="1" si="73"/>
        <v>0</v>
      </c>
      <c r="AB144" s="20" t="str">
        <f t="shared" ca="1" si="74"/>
        <v/>
      </c>
      <c r="AC144" s="15"/>
      <c r="AD144" s="15"/>
      <c r="AE144" s="21"/>
      <c r="AF144" s="22"/>
    </row>
    <row r="145" spans="1:32" ht="15" customHeight="1" x14ac:dyDescent="0.3">
      <c r="A145" s="15"/>
      <c r="B145" s="17" t="str">
        <f t="shared" si="60"/>
        <v/>
      </c>
      <c r="C145" s="38" t="str">
        <f t="shared" si="61"/>
        <v/>
      </c>
      <c r="D145" s="17" t="str">
        <f t="shared" si="62"/>
        <v/>
      </c>
      <c r="E145" s="17" t="str">
        <f t="shared" si="63"/>
        <v/>
      </c>
      <c r="F145" s="15"/>
      <c r="G145" s="15"/>
      <c r="H145" s="15"/>
      <c r="I145" s="17" t="str">
        <f t="shared" si="64"/>
        <v/>
      </c>
      <c r="J145" s="18" t="str">
        <f>IFERROR(IF(I145="","",VLOOKUP(I145,Normtijden_Config!$A$4:$S$55,7,FALSE())),"")</f>
        <v/>
      </c>
      <c r="K145" s="17" t="str">
        <f>IFERROR(IF(I145="","",VLOOKUP(I145,Normtijden_Config!$A$4:$S$55,8,FALSE())),"")</f>
        <v/>
      </c>
      <c r="L145" s="18" t="str">
        <f>IF(I145="","",IFERROR(  IF(VLOOKUP(I145,Normtijden_Config!$A$4:$S$55,9,FALSE())&lt;&gt;"",     VLOOKUP(I145,Normtijden_Config!$A$4:$S$55,9,FALSE()),     IFERROR(-INDEX(tbl_Offsets_Wd,MATCH(K145&amp;"|"&amp;D145&amp;"|"&amp;E145,tbl_Offsets_Key,0)),"")),""))</f>
        <v/>
      </c>
      <c r="M145" s="17" t="str">
        <f>IFERROR(IF(I145="","",VLOOKUP(I145,Normtijden_Config!$A$4:$S$55,10,FALSE())),"")</f>
        <v/>
      </c>
      <c r="N145" s="17" t="str">
        <f>IFERROR(IF(I145="","",VLOOKUP(I145,Normtijden_Config!$A$4:$S$55,11,FALSE())),"")</f>
        <v/>
      </c>
      <c r="O145" s="15"/>
      <c r="P145" s="15"/>
      <c r="Q145" s="39"/>
      <c r="R145" s="39"/>
      <c r="S145" s="38" t="str">
        <f t="shared" si="65"/>
        <v/>
      </c>
      <c r="T145" s="38" t="str">
        <f t="shared" si="66"/>
        <v/>
      </c>
      <c r="U145" s="38" t="str">
        <f t="shared" ca="1" si="67"/>
        <v/>
      </c>
      <c r="V145" s="38">
        <f t="shared" ca="1" si="68"/>
        <v>0</v>
      </c>
      <c r="W145" s="18" t="str">
        <f t="shared" ca="1" si="69"/>
        <v>n.v.t.</v>
      </c>
      <c r="X145" s="17" t="str">
        <f t="shared" ca="1" si="70"/>
        <v>ONBEKEND</v>
      </c>
      <c r="Y145" s="17" t="b">
        <f t="shared" ca="1" si="71"/>
        <v>0</v>
      </c>
      <c r="Z145" s="17" t="b">
        <f t="shared" si="72"/>
        <v>0</v>
      </c>
      <c r="AA145" s="17" t="b">
        <f t="shared" ca="1" si="73"/>
        <v>0</v>
      </c>
      <c r="AB145" s="20" t="str">
        <f t="shared" ca="1" si="74"/>
        <v/>
      </c>
      <c r="AC145" s="15"/>
      <c r="AD145" s="15"/>
      <c r="AE145" s="21"/>
      <c r="AF145" s="22"/>
    </row>
    <row r="146" spans="1:32" ht="15" customHeight="1" x14ac:dyDescent="0.3">
      <c r="A146" s="15"/>
      <c r="B146" s="17" t="str">
        <f t="shared" si="60"/>
        <v/>
      </c>
      <c r="C146" s="38" t="str">
        <f t="shared" si="61"/>
        <v/>
      </c>
      <c r="D146" s="17" t="str">
        <f t="shared" si="62"/>
        <v/>
      </c>
      <c r="E146" s="17" t="str">
        <f t="shared" si="63"/>
        <v/>
      </c>
      <c r="F146" s="15"/>
      <c r="G146" s="15"/>
      <c r="H146" s="15"/>
      <c r="I146" s="17" t="str">
        <f t="shared" si="64"/>
        <v/>
      </c>
      <c r="J146" s="18" t="str">
        <f>IFERROR(IF(I146="","",VLOOKUP(I146,Normtijden_Config!$A$4:$S$55,7,FALSE())),"")</f>
        <v/>
      </c>
      <c r="K146" s="17" t="str">
        <f>IFERROR(IF(I146="","",VLOOKUP(I146,Normtijden_Config!$A$4:$S$55,8,FALSE())),"")</f>
        <v/>
      </c>
      <c r="L146" s="18" t="str">
        <f>IF(I146="","",IFERROR(  IF(VLOOKUP(I146,Normtijden_Config!$A$4:$S$55,9,FALSE())&lt;&gt;"",     VLOOKUP(I146,Normtijden_Config!$A$4:$S$55,9,FALSE()),     IFERROR(-INDEX(tbl_Offsets_Wd,MATCH(K146&amp;"|"&amp;D146&amp;"|"&amp;E146,tbl_Offsets_Key,0)),"")),""))</f>
        <v/>
      </c>
      <c r="M146" s="17" t="str">
        <f>IFERROR(IF(I146="","",VLOOKUP(I146,Normtijden_Config!$A$4:$S$55,10,FALSE())),"")</f>
        <v/>
      </c>
      <c r="N146" s="17" t="str">
        <f>IFERROR(IF(I146="","",VLOOKUP(I146,Normtijden_Config!$A$4:$S$55,11,FALSE())),"")</f>
        <v/>
      </c>
      <c r="O146" s="15"/>
      <c r="P146" s="15"/>
      <c r="Q146" s="39"/>
      <c r="R146" s="39"/>
      <c r="S146" s="38" t="str">
        <f t="shared" si="65"/>
        <v/>
      </c>
      <c r="T146" s="38" t="str">
        <f t="shared" si="66"/>
        <v/>
      </c>
      <c r="U146" s="38" t="str">
        <f t="shared" ca="1" si="67"/>
        <v/>
      </c>
      <c r="V146" s="38">
        <f t="shared" ca="1" si="68"/>
        <v>0</v>
      </c>
      <c r="W146" s="18" t="str">
        <f t="shared" ca="1" si="69"/>
        <v>n.v.t.</v>
      </c>
      <c r="X146" s="17" t="str">
        <f t="shared" ca="1" si="70"/>
        <v>ONBEKEND</v>
      </c>
      <c r="Y146" s="17" t="b">
        <f t="shared" ca="1" si="71"/>
        <v>0</v>
      </c>
      <c r="Z146" s="17" t="b">
        <f t="shared" si="72"/>
        <v>0</v>
      </c>
      <c r="AA146" s="17" t="b">
        <f t="shared" ca="1" si="73"/>
        <v>0</v>
      </c>
      <c r="AB146" s="20" t="str">
        <f t="shared" ca="1" si="74"/>
        <v/>
      </c>
      <c r="AC146" s="15"/>
      <c r="AD146" s="15"/>
      <c r="AE146" s="21"/>
      <c r="AF146" s="22"/>
    </row>
    <row r="147" spans="1:32" ht="15" customHeight="1" x14ac:dyDescent="0.3">
      <c r="A147" s="15"/>
      <c r="B147" s="17" t="str">
        <f t="shared" si="60"/>
        <v/>
      </c>
      <c r="C147" s="38" t="str">
        <f t="shared" si="61"/>
        <v/>
      </c>
      <c r="D147" s="17" t="str">
        <f t="shared" si="62"/>
        <v/>
      </c>
      <c r="E147" s="17" t="str">
        <f t="shared" si="63"/>
        <v/>
      </c>
      <c r="F147" s="15"/>
      <c r="G147" s="15"/>
      <c r="H147" s="15"/>
      <c r="I147" s="17" t="str">
        <f t="shared" si="64"/>
        <v/>
      </c>
      <c r="J147" s="18" t="str">
        <f>IFERROR(IF(I147="","",VLOOKUP(I147,Normtijden_Config!$A$4:$S$55,7,FALSE())),"")</f>
        <v/>
      </c>
      <c r="K147" s="17" t="str">
        <f>IFERROR(IF(I147="","",VLOOKUP(I147,Normtijden_Config!$A$4:$S$55,8,FALSE())),"")</f>
        <v/>
      </c>
      <c r="L147" s="18" t="str">
        <f>IF(I147="","",IFERROR(  IF(VLOOKUP(I147,Normtijden_Config!$A$4:$S$55,9,FALSE())&lt;&gt;"",     VLOOKUP(I147,Normtijden_Config!$A$4:$S$55,9,FALSE()),     IFERROR(-INDEX(tbl_Offsets_Wd,MATCH(K147&amp;"|"&amp;D147&amp;"|"&amp;E147,tbl_Offsets_Key,0)),"")),""))</f>
        <v/>
      </c>
      <c r="M147" s="17" t="str">
        <f>IFERROR(IF(I147="","",VLOOKUP(I147,Normtijden_Config!$A$4:$S$55,10,FALSE())),"")</f>
        <v/>
      </c>
      <c r="N147" s="17" t="str">
        <f>IFERROR(IF(I147="","",VLOOKUP(I147,Normtijden_Config!$A$4:$S$55,11,FALSE())),"")</f>
        <v/>
      </c>
      <c r="O147" s="15"/>
      <c r="P147" s="15"/>
      <c r="Q147" s="39"/>
      <c r="R147" s="39"/>
      <c r="S147" s="38" t="str">
        <f t="shared" si="65"/>
        <v/>
      </c>
      <c r="T147" s="38" t="str">
        <f t="shared" si="66"/>
        <v/>
      </c>
      <c r="U147" s="38" t="str">
        <f t="shared" ca="1" si="67"/>
        <v/>
      </c>
      <c r="V147" s="38">
        <f t="shared" ca="1" si="68"/>
        <v>0</v>
      </c>
      <c r="W147" s="18" t="str">
        <f t="shared" ca="1" si="69"/>
        <v>n.v.t.</v>
      </c>
      <c r="X147" s="17" t="str">
        <f t="shared" ca="1" si="70"/>
        <v>ONBEKEND</v>
      </c>
      <c r="Y147" s="17" t="b">
        <f t="shared" ca="1" si="71"/>
        <v>0</v>
      </c>
      <c r="Z147" s="17" t="b">
        <f t="shared" si="72"/>
        <v>0</v>
      </c>
      <c r="AA147" s="17" t="b">
        <f t="shared" ca="1" si="73"/>
        <v>0</v>
      </c>
      <c r="AB147" s="20" t="str">
        <f t="shared" ca="1" si="74"/>
        <v/>
      </c>
      <c r="AC147" s="15"/>
      <c r="AD147" s="15"/>
      <c r="AE147" s="21"/>
      <c r="AF147" s="22"/>
    </row>
    <row r="148" spans="1:32" ht="15" customHeight="1" x14ac:dyDescent="0.3">
      <c r="A148" s="15"/>
      <c r="B148" s="17" t="str">
        <f t="shared" si="60"/>
        <v/>
      </c>
      <c r="C148" s="38" t="str">
        <f t="shared" si="61"/>
        <v/>
      </c>
      <c r="D148" s="17" t="str">
        <f t="shared" si="62"/>
        <v/>
      </c>
      <c r="E148" s="17" t="str">
        <f t="shared" si="63"/>
        <v/>
      </c>
      <c r="F148" s="15"/>
      <c r="G148" s="15"/>
      <c r="H148" s="15"/>
      <c r="I148" s="17" t="str">
        <f t="shared" si="64"/>
        <v/>
      </c>
      <c r="J148" s="18" t="str">
        <f>IFERROR(IF(I148="","",VLOOKUP(I148,Normtijden_Config!$A$4:$S$55,7,FALSE())),"")</f>
        <v/>
      </c>
      <c r="K148" s="17" t="str">
        <f>IFERROR(IF(I148="","",VLOOKUP(I148,Normtijden_Config!$A$4:$S$55,8,FALSE())),"")</f>
        <v/>
      </c>
      <c r="L148" s="18" t="str">
        <f>IF(I148="","",IFERROR(  IF(VLOOKUP(I148,Normtijden_Config!$A$4:$S$55,9,FALSE())&lt;&gt;"",     VLOOKUP(I148,Normtijden_Config!$A$4:$S$55,9,FALSE()),     IFERROR(-INDEX(tbl_Offsets_Wd,MATCH(K148&amp;"|"&amp;D148&amp;"|"&amp;E148,tbl_Offsets_Key,0)),"")),""))</f>
        <v/>
      </c>
      <c r="M148" s="17" t="str">
        <f>IFERROR(IF(I148="","",VLOOKUP(I148,Normtijden_Config!$A$4:$S$55,10,FALSE())),"")</f>
        <v/>
      </c>
      <c r="N148" s="17" t="str">
        <f>IFERROR(IF(I148="","",VLOOKUP(I148,Normtijden_Config!$A$4:$S$55,11,FALSE())),"")</f>
        <v/>
      </c>
      <c r="O148" s="15"/>
      <c r="P148" s="15"/>
      <c r="Q148" s="39"/>
      <c r="R148" s="39"/>
      <c r="S148" s="38" t="str">
        <f t="shared" si="65"/>
        <v/>
      </c>
      <c r="T148" s="38" t="str">
        <f t="shared" si="66"/>
        <v/>
      </c>
      <c r="U148" s="38" t="str">
        <f t="shared" ca="1" si="67"/>
        <v/>
      </c>
      <c r="V148" s="38">
        <f t="shared" ca="1" si="68"/>
        <v>0</v>
      </c>
      <c r="W148" s="18" t="str">
        <f t="shared" ca="1" si="69"/>
        <v>n.v.t.</v>
      </c>
      <c r="X148" s="17" t="str">
        <f t="shared" ca="1" si="70"/>
        <v>ONBEKEND</v>
      </c>
      <c r="Y148" s="17" t="b">
        <f t="shared" ca="1" si="71"/>
        <v>0</v>
      </c>
      <c r="Z148" s="17" t="b">
        <f t="shared" si="72"/>
        <v>0</v>
      </c>
      <c r="AA148" s="17" t="b">
        <f t="shared" ca="1" si="73"/>
        <v>0</v>
      </c>
      <c r="AB148" s="20" t="str">
        <f t="shared" ca="1" si="74"/>
        <v/>
      </c>
      <c r="AC148" s="15"/>
      <c r="AD148" s="15"/>
      <c r="AE148" s="21"/>
      <c r="AF148" s="22"/>
    </row>
    <row r="149" spans="1:32" ht="15" customHeight="1" x14ac:dyDescent="0.3">
      <c r="A149" s="15"/>
      <c r="B149" s="17" t="str">
        <f t="shared" si="60"/>
        <v/>
      </c>
      <c r="C149" s="38" t="str">
        <f t="shared" si="61"/>
        <v/>
      </c>
      <c r="D149" s="17" t="str">
        <f t="shared" si="62"/>
        <v/>
      </c>
      <c r="E149" s="17" t="str">
        <f t="shared" si="63"/>
        <v/>
      </c>
      <c r="F149" s="15"/>
      <c r="G149" s="15"/>
      <c r="H149" s="15"/>
      <c r="I149" s="17" t="str">
        <f t="shared" si="64"/>
        <v/>
      </c>
      <c r="J149" s="18" t="str">
        <f>IFERROR(IF(I149="","",VLOOKUP(I149,Normtijden_Config!$A$4:$S$55,7,FALSE())),"")</f>
        <v/>
      </c>
      <c r="K149" s="17" t="str">
        <f>IFERROR(IF(I149="","",VLOOKUP(I149,Normtijden_Config!$A$4:$S$55,8,FALSE())),"")</f>
        <v/>
      </c>
      <c r="L149" s="18" t="str">
        <f>IF(I149="","",IFERROR(  IF(VLOOKUP(I149,Normtijden_Config!$A$4:$S$55,9,FALSE())&lt;&gt;"",     VLOOKUP(I149,Normtijden_Config!$A$4:$S$55,9,FALSE()),     IFERROR(-INDEX(tbl_Offsets_Wd,MATCH(K149&amp;"|"&amp;D149&amp;"|"&amp;E149,tbl_Offsets_Key,0)),"")),""))</f>
        <v/>
      </c>
      <c r="M149" s="17" t="str">
        <f>IFERROR(IF(I149="","",VLOOKUP(I149,Normtijden_Config!$A$4:$S$55,10,FALSE())),"")</f>
        <v/>
      </c>
      <c r="N149" s="17" t="str">
        <f>IFERROR(IF(I149="","",VLOOKUP(I149,Normtijden_Config!$A$4:$S$55,11,FALSE())),"")</f>
        <v/>
      </c>
      <c r="O149" s="15"/>
      <c r="P149" s="15"/>
      <c r="Q149" s="39"/>
      <c r="R149" s="39"/>
      <c r="S149" s="38" t="str">
        <f t="shared" si="65"/>
        <v/>
      </c>
      <c r="T149" s="38" t="str">
        <f t="shared" si="66"/>
        <v/>
      </c>
      <c r="U149" s="38" t="str">
        <f t="shared" ca="1" si="67"/>
        <v/>
      </c>
      <c r="V149" s="38">
        <f t="shared" ca="1" si="68"/>
        <v>0</v>
      </c>
      <c r="W149" s="18" t="str">
        <f t="shared" ca="1" si="69"/>
        <v>n.v.t.</v>
      </c>
      <c r="X149" s="17" t="str">
        <f t="shared" ca="1" si="70"/>
        <v>ONBEKEND</v>
      </c>
      <c r="Y149" s="17" t="b">
        <f t="shared" ca="1" si="71"/>
        <v>0</v>
      </c>
      <c r="Z149" s="17" t="b">
        <f t="shared" si="72"/>
        <v>0</v>
      </c>
      <c r="AA149" s="17" t="b">
        <f t="shared" ca="1" si="73"/>
        <v>0</v>
      </c>
      <c r="AB149" s="20" t="str">
        <f t="shared" ca="1" si="74"/>
        <v/>
      </c>
      <c r="AC149" s="15"/>
      <c r="AD149" s="15"/>
      <c r="AE149" s="21"/>
      <c r="AF149" s="22"/>
    </row>
    <row r="150" spans="1:32" ht="15" customHeight="1" x14ac:dyDescent="0.3">
      <c r="A150" s="15"/>
      <c r="B150" s="17" t="str">
        <f t="shared" si="60"/>
        <v/>
      </c>
      <c r="C150" s="38" t="str">
        <f t="shared" si="61"/>
        <v/>
      </c>
      <c r="D150" s="17" t="str">
        <f t="shared" si="62"/>
        <v/>
      </c>
      <c r="E150" s="17" t="str">
        <f t="shared" si="63"/>
        <v/>
      </c>
      <c r="F150" s="15"/>
      <c r="G150" s="15"/>
      <c r="H150" s="15"/>
      <c r="I150" s="17" t="str">
        <f t="shared" si="64"/>
        <v/>
      </c>
      <c r="J150" s="18" t="str">
        <f>IFERROR(IF(I150="","",VLOOKUP(I150,Normtijden_Config!$A$4:$S$55,7,FALSE())),"")</f>
        <v/>
      </c>
      <c r="K150" s="17" t="str">
        <f>IFERROR(IF(I150="","",VLOOKUP(I150,Normtijden_Config!$A$4:$S$55,8,FALSE())),"")</f>
        <v/>
      </c>
      <c r="L150" s="18" t="str">
        <f>IF(I150="","",IFERROR(  IF(VLOOKUP(I150,Normtijden_Config!$A$4:$S$55,9,FALSE())&lt;&gt;"",     VLOOKUP(I150,Normtijden_Config!$A$4:$S$55,9,FALSE()),     IFERROR(-INDEX(tbl_Offsets_Wd,MATCH(K150&amp;"|"&amp;D150&amp;"|"&amp;E150,tbl_Offsets_Key,0)),"")),""))</f>
        <v/>
      </c>
      <c r="M150" s="17" t="str">
        <f>IFERROR(IF(I150="","",VLOOKUP(I150,Normtijden_Config!$A$4:$S$55,10,FALSE())),"")</f>
        <v/>
      </c>
      <c r="N150" s="17" t="str">
        <f>IFERROR(IF(I150="","",VLOOKUP(I150,Normtijden_Config!$A$4:$S$55,11,FALSE())),"")</f>
        <v/>
      </c>
      <c r="O150" s="15"/>
      <c r="P150" s="15"/>
      <c r="Q150" s="39"/>
      <c r="R150" s="39"/>
      <c r="S150" s="38" t="str">
        <f t="shared" si="65"/>
        <v/>
      </c>
      <c r="T150" s="38" t="str">
        <f t="shared" si="66"/>
        <v/>
      </c>
      <c r="U150" s="38" t="str">
        <f t="shared" ca="1" si="67"/>
        <v/>
      </c>
      <c r="V150" s="38">
        <f t="shared" ca="1" si="68"/>
        <v>0</v>
      </c>
      <c r="W150" s="18" t="str">
        <f t="shared" ca="1" si="69"/>
        <v>n.v.t.</v>
      </c>
      <c r="X150" s="17" t="str">
        <f t="shared" ca="1" si="70"/>
        <v>ONBEKEND</v>
      </c>
      <c r="Y150" s="17" t="b">
        <f t="shared" ca="1" si="71"/>
        <v>0</v>
      </c>
      <c r="Z150" s="17" t="b">
        <f t="shared" si="72"/>
        <v>0</v>
      </c>
      <c r="AA150" s="17" t="b">
        <f t="shared" ca="1" si="73"/>
        <v>0</v>
      </c>
      <c r="AB150" s="20" t="str">
        <f t="shared" ca="1" si="74"/>
        <v/>
      </c>
      <c r="AC150" s="15"/>
      <c r="AD150" s="15"/>
      <c r="AE150" s="21"/>
      <c r="AF150" s="22"/>
    </row>
    <row r="151" spans="1:32" ht="15" customHeight="1" x14ac:dyDescent="0.3">
      <c r="A151" s="15"/>
      <c r="B151" s="17" t="str">
        <f t="shared" si="60"/>
        <v/>
      </c>
      <c r="C151" s="38" t="str">
        <f t="shared" si="61"/>
        <v/>
      </c>
      <c r="D151" s="17" t="str">
        <f t="shared" si="62"/>
        <v/>
      </c>
      <c r="E151" s="17" t="str">
        <f t="shared" si="63"/>
        <v/>
      </c>
      <c r="F151" s="15"/>
      <c r="G151" s="15"/>
      <c r="H151" s="15"/>
      <c r="I151" s="17" t="str">
        <f t="shared" si="64"/>
        <v/>
      </c>
      <c r="J151" s="18" t="str">
        <f>IFERROR(IF(I151="","",VLOOKUP(I151,Normtijden_Config!$A$4:$S$55,7,FALSE())),"")</f>
        <v/>
      </c>
      <c r="K151" s="17" t="str">
        <f>IFERROR(IF(I151="","",VLOOKUP(I151,Normtijden_Config!$A$4:$S$55,8,FALSE())),"")</f>
        <v/>
      </c>
      <c r="L151" s="18" t="str">
        <f>IF(I151="","",IFERROR(  IF(VLOOKUP(I151,Normtijden_Config!$A$4:$S$55,9,FALSE())&lt;&gt;"",     VLOOKUP(I151,Normtijden_Config!$A$4:$S$55,9,FALSE()),     IFERROR(-INDEX(tbl_Offsets_Wd,MATCH(K151&amp;"|"&amp;D151&amp;"|"&amp;E151,tbl_Offsets_Key,0)),"")),""))</f>
        <v/>
      </c>
      <c r="M151" s="17" t="str">
        <f>IFERROR(IF(I151="","",VLOOKUP(I151,Normtijden_Config!$A$4:$S$55,10,FALSE())),"")</f>
        <v/>
      </c>
      <c r="N151" s="17" t="str">
        <f>IFERROR(IF(I151="","",VLOOKUP(I151,Normtijden_Config!$A$4:$S$55,11,FALSE())),"")</f>
        <v/>
      </c>
      <c r="O151" s="15"/>
      <c r="P151" s="15"/>
      <c r="Q151" s="39"/>
      <c r="R151" s="39"/>
      <c r="S151" s="38" t="str">
        <f t="shared" si="65"/>
        <v/>
      </c>
      <c r="T151" s="38" t="str">
        <f t="shared" si="66"/>
        <v/>
      </c>
      <c r="U151" s="38" t="str">
        <f t="shared" ca="1" si="67"/>
        <v/>
      </c>
      <c r="V151" s="38">
        <f t="shared" ca="1" si="68"/>
        <v>0</v>
      </c>
      <c r="W151" s="18" t="str">
        <f t="shared" ca="1" si="69"/>
        <v>n.v.t.</v>
      </c>
      <c r="X151" s="17" t="str">
        <f t="shared" ca="1" si="70"/>
        <v>ONBEKEND</v>
      </c>
      <c r="Y151" s="17" t="b">
        <f t="shared" ca="1" si="71"/>
        <v>0</v>
      </c>
      <c r="Z151" s="17" t="b">
        <f t="shared" si="72"/>
        <v>0</v>
      </c>
      <c r="AA151" s="17" t="b">
        <f t="shared" ca="1" si="73"/>
        <v>0</v>
      </c>
      <c r="AB151" s="20" t="str">
        <f t="shared" ca="1" si="74"/>
        <v/>
      </c>
      <c r="AC151" s="15"/>
      <c r="AD151" s="15"/>
      <c r="AE151" s="21"/>
      <c r="AF151" s="22"/>
    </row>
    <row r="152" spans="1:32" ht="15" customHeight="1" x14ac:dyDescent="0.3">
      <c r="A152" s="15"/>
      <c r="B152" s="17" t="str">
        <f t="shared" si="60"/>
        <v/>
      </c>
      <c r="C152" s="38" t="str">
        <f t="shared" si="61"/>
        <v/>
      </c>
      <c r="D152" s="17" t="str">
        <f t="shared" si="62"/>
        <v/>
      </c>
      <c r="E152" s="17" t="str">
        <f t="shared" si="63"/>
        <v/>
      </c>
      <c r="F152" s="15"/>
      <c r="G152" s="15"/>
      <c r="H152" s="15"/>
      <c r="I152" s="17" t="str">
        <f t="shared" si="64"/>
        <v/>
      </c>
      <c r="J152" s="18" t="str">
        <f>IFERROR(IF(I152="","",VLOOKUP(I152,Normtijden_Config!$A$4:$S$55,7,FALSE())),"")</f>
        <v/>
      </c>
      <c r="K152" s="17" t="str">
        <f>IFERROR(IF(I152="","",VLOOKUP(I152,Normtijden_Config!$A$4:$S$55,8,FALSE())),"")</f>
        <v/>
      </c>
      <c r="L152" s="18" t="str">
        <f>IF(I152="","",IFERROR(  IF(VLOOKUP(I152,Normtijden_Config!$A$4:$S$55,9,FALSE())&lt;&gt;"",     VLOOKUP(I152,Normtijden_Config!$A$4:$S$55,9,FALSE()),     IFERROR(-INDEX(tbl_Offsets_Wd,MATCH(K152&amp;"|"&amp;D152&amp;"|"&amp;E152,tbl_Offsets_Key,0)),"")),""))</f>
        <v/>
      </c>
      <c r="M152" s="17" t="str">
        <f>IFERROR(IF(I152="","",VLOOKUP(I152,Normtijden_Config!$A$4:$S$55,10,FALSE())),"")</f>
        <v/>
      </c>
      <c r="N152" s="17" t="str">
        <f>IFERROR(IF(I152="","",VLOOKUP(I152,Normtijden_Config!$A$4:$S$55,11,FALSE())),"")</f>
        <v/>
      </c>
      <c r="O152" s="15"/>
      <c r="P152" s="15"/>
      <c r="Q152" s="39"/>
      <c r="R152" s="39"/>
      <c r="S152" s="38" t="str">
        <f t="shared" si="65"/>
        <v/>
      </c>
      <c r="T152" s="38" t="str">
        <f t="shared" si="66"/>
        <v/>
      </c>
      <c r="U152" s="38" t="str">
        <f t="shared" ca="1" si="67"/>
        <v/>
      </c>
      <c r="V152" s="38">
        <f t="shared" ca="1" si="68"/>
        <v>0</v>
      </c>
      <c r="W152" s="18" t="str">
        <f t="shared" ca="1" si="69"/>
        <v>n.v.t.</v>
      </c>
      <c r="X152" s="17" t="str">
        <f t="shared" ca="1" si="70"/>
        <v>ONBEKEND</v>
      </c>
      <c r="Y152" s="17" t="b">
        <f t="shared" ca="1" si="71"/>
        <v>0</v>
      </c>
      <c r="Z152" s="17" t="b">
        <f t="shared" si="72"/>
        <v>0</v>
      </c>
      <c r="AA152" s="17" t="b">
        <f t="shared" ca="1" si="73"/>
        <v>0</v>
      </c>
      <c r="AB152" s="20" t="str">
        <f t="shared" ca="1" si="74"/>
        <v/>
      </c>
      <c r="AC152" s="15"/>
      <c r="AD152" s="15"/>
      <c r="AE152" s="21"/>
      <c r="AF152" s="22"/>
    </row>
    <row r="153" spans="1:32" ht="15" customHeight="1" x14ac:dyDescent="0.3">
      <c r="A153" s="15"/>
      <c r="B153" s="17" t="str">
        <f t="shared" si="60"/>
        <v/>
      </c>
      <c r="C153" s="38" t="str">
        <f t="shared" si="61"/>
        <v/>
      </c>
      <c r="D153" s="17" t="str">
        <f t="shared" si="62"/>
        <v/>
      </c>
      <c r="E153" s="17" t="str">
        <f t="shared" si="63"/>
        <v/>
      </c>
      <c r="F153" s="15"/>
      <c r="G153" s="15"/>
      <c r="H153" s="15"/>
      <c r="I153" s="17" t="str">
        <f t="shared" si="64"/>
        <v/>
      </c>
      <c r="J153" s="18" t="str">
        <f>IFERROR(IF(I153="","",VLOOKUP(I153,Normtijden_Config!$A$4:$S$55,7,FALSE())),"")</f>
        <v/>
      </c>
      <c r="K153" s="17" t="str">
        <f>IFERROR(IF(I153="","",VLOOKUP(I153,Normtijden_Config!$A$4:$S$55,8,FALSE())),"")</f>
        <v/>
      </c>
      <c r="L153" s="18" t="str">
        <f>IF(I153="","",IFERROR(  IF(VLOOKUP(I153,Normtijden_Config!$A$4:$S$55,9,FALSE())&lt;&gt;"",     VLOOKUP(I153,Normtijden_Config!$A$4:$S$55,9,FALSE()),     IFERROR(-INDEX(tbl_Offsets_Wd,MATCH(K153&amp;"|"&amp;D153&amp;"|"&amp;E153,tbl_Offsets_Key,0)),"")),""))</f>
        <v/>
      </c>
      <c r="M153" s="17" t="str">
        <f>IFERROR(IF(I153="","",VLOOKUP(I153,Normtijden_Config!$A$4:$S$55,10,FALSE())),"")</f>
        <v/>
      </c>
      <c r="N153" s="17" t="str">
        <f>IFERROR(IF(I153="","",VLOOKUP(I153,Normtijden_Config!$A$4:$S$55,11,FALSE())),"")</f>
        <v/>
      </c>
      <c r="O153" s="15"/>
      <c r="P153" s="15"/>
      <c r="Q153" s="39"/>
      <c r="R153" s="39"/>
      <c r="S153" s="38" t="str">
        <f t="shared" si="65"/>
        <v/>
      </c>
      <c r="T153" s="38" t="str">
        <f t="shared" si="66"/>
        <v/>
      </c>
      <c r="U153" s="38" t="str">
        <f t="shared" ca="1" si="67"/>
        <v/>
      </c>
      <c r="V153" s="38">
        <f t="shared" ca="1" si="68"/>
        <v>0</v>
      </c>
      <c r="W153" s="18" t="str">
        <f t="shared" ca="1" si="69"/>
        <v>n.v.t.</v>
      </c>
      <c r="X153" s="17" t="str">
        <f t="shared" ca="1" si="70"/>
        <v>ONBEKEND</v>
      </c>
      <c r="Y153" s="17" t="b">
        <f t="shared" ca="1" si="71"/>
        <v>0</v>
      </c>
      <c r="Z153" s="17" t="b">
        <f t="shared" si="72"/>
        <v>0</v>
      </c>
      <c r="AA153" s="17" t="b">
        <f t="shared" ca="1" si="73"/>
        <v>0</v>
      </c>
      <c r="AB153" s="20" t="str">
        <f t="shared" ca="1" si="74"/>
        <v/>
      </c>
      <c r="AC153" s="15"/>
      <c r="AD153" s="15"/>
      <c r="AE153" s="21"/>
      <c r="AF153" s="22"/>
    </row>
    <row r="154" spans="1:32" ht="15" customHeight="1" x14ac:dyDescent="0.3">
      <c r="A154" s="15"/>
      <c r="B154" s="17" t="str">
        <f t="shared" si="60"/>
        <v/>
      </c>
      <c r="C154" s="38" t="str">
        <f t="shared" si="61"/>
        <v/>
      </c>
      <c r="D154" s="17" t="str">
        <f t="shared" si="62"/>
        <v/>
      </c>
      <c r="E154" s="17" t="str">
        <f t="shared" si="63"/>
        <v/>
      </c>
      <c r="F154" s="15"/>
      <c r="G154" s="15"/>
      <c r="H154" s="15"/>
      <c r="I154" s="17" t="str">
        <f t="shared" si="64"/>
        <v/>
      </c>
      <c r="J154" s="18" t="str">
        <f>IFERROR(IF(I154="","",VLOOKUP(I154,Normtijden_Config!$A$4:$S$55,7,FALSE())),"")</f>
        <v/>
      </c>
      <c r="K154" s="17" t="str">
        <f>IFERROR(IF(I154="","",VLOOKUP(I154,Normtijden_Config!$A$4:$S$55,8,FALSE())),"")</f>
        <v/>
      </c>
      <c r="L154" s="18" t="str">
        <f>IF(I154="","",IFERROR(  IF(VLOOKUP(I154,Normtijden_Config!$A$4:$S$55,9,FALSE())&lt;&gt;"",     VLOOKUP(I154,Normtijden_Config!$A$4:$S$55,9,FALSE()),     IFERROR(-INDEX(tbl_Offsets_Wd,MATCH(K154&amp;"|"&amp;D154&amp;"|"&amp;E154,tbl_Offsets_Key,0)),"")),""))</f>
        <v/>
      </c>
      <c r="M154" s="17" t="str">
        <f>IFERROR(IF(I154="","",VLOOKUP(I154,Normtijden_Config!$A$4:$S$55,10,FALSE())),"")</f>
        <v/>
      </c>
      <c r="N154" s="17" t="str">
        <f>IFERROR(IF(I154="","",VLOOKUP(I154,Normtijden_Config!$A$4:$S$55,11,FALSE())),"")</f>
        <v/>
      </c>
      <c r="O154" s="15"/>
      <c r="P154" s="15"/>
      <c r="Q154" s="39"/>
      <c r="R154" s="39"/>
      <c r="S154" s="38" t="str">
        <f t="shared" si="65"/>
        <v/>
      </c>
      <c r="T154" s="38" t="str">
        <f t="shared" si="66"/>
        <v/>
      </c>
      <c r="U154" s="38" t="str">
        <f t="shared" ca="1" si="67"/>
        <v/>
      </c>
      <c r="V154" s="38">
        <f t="shared" ca="1" si="68"/>
        <v>0</v>
      </c>
      <c r="W154" s="18" t="str">
        <f t="shared" ca="1" si="69"/>
        <v>n.v.t.</v>
      </c>
      <c r="X154" s="17" t="str">
        <f t="shared" ca="1" si="70"/>
        <v>ONBEKEND</v>
      </c>
      <c r="Y154" s="17" t="b">
        <f t="shared" ca="1" si="71"/>
        <v>0</v>
      </c>
      <c r="Z154" s="17" t="b">
        <f t="shared" si="72"/>
        <v>0</v>
      </c>
      <c r="AA154" s="17" t="b">
        <f t="shared" ca="1" si="73"/>
        <v>0</v>
      </c>
      <c r="AB154" s="20" t="str">
        <f t="shared" ca="1" si="74"/>
        <v/>
      </c>
      <c r="AC154" s="15"/>
      <c r="AD154" s="15"/>
      <c r="AE154" s="21"/>
      <c r="AF154" s="22"/>
    </row>
    <row r="155" spans="1:32" ht="15" customHeight="1" x14ac:dyDescent="0.3">
      <c r="A155" s="15"/>
      <c r="B155" s="17" t="str">
        <f t="shared" si="60"/>
        <v/>
      </c>
      <c r="C155" s="38" t="str">
        <f t="shared" si="61"/>
        <v/>
      </c>
      <c r="D155" s="17" t="str">
        <f t="shared" si="62"/>
        <v/>
      </c>
      <c r="E155" s="17" t="str">
        <f t="shared" si="63"/>
        <v/>
      </c>
      <c r="F155" s="15"/>
      <c r="G155" s="15"/>
      <c r="H155" s="15"/>
      <c r="I155" s="17" t="str">
        <f t="shared" si="64"/>
        <v/>
      </c>
      <c r="J155" s="18" t="str">
        <f>IFERROR(IF(I155="","",VLOOKUP(I155,Normtijden_Config!$A$4:$S$55,7,FALSE())),"")</f>
        <v/>
      </c>
      <c r="K155" s="17" t="str">
        <f>IFERROR(IF(I155="","",VLOOKUP(I155,Normtijden_Config!$A$4:$S$55,8,FALSE())),"")</f>
        <v/>
      </c>
      <c r="L155" s="18" t="str">
        <f>IF(I155="","",IFERROR(  IF(VLOOKUP(I155,Normtijden_Config!$A$4:$S$55,9,FALSE())&lt;&gt;"",     VLOOKUP(I155,Normtijden_Config!$A$4:$S$55,9,FALSE()),     IFERROR(-INDEX(tbl_Offsets_Wd,MATCH(K155&amp;"|"&amp;D155&amp;"|"&amp;E155,tbl_Offsets_Key,0)),"")),""))</f>
        <v/>
      </c>
      <c r="M155" s="17" t="str">
        <f>IFERROR(IF(I155="","",VLOOKUP(I155,Normtijden_Config!$A$4:$S$55,10,FALSE())),"")</f>
        <v/>
      </c>
      <c r="N155" s="17" t="str">
        <f>IFERROR(IF(I155="","",VLOOKUP(I155,Normtijden_Config!$A$4:$S$55,11,FALSE())),"")</f>
        <v/>
      </c>
      <c r="O155" s="15"/>
      <c r="P155" s="15"/>
      <c r="Q155" s="39"/>
      <c r="R155" s="39"/>
      <c r="S155" s="38" t="str">
        <f t="shared" si="65"/>
        <v/>
      </c>
      <c r="T155" s="38" t="str">
        <f t="shared" si="66"/>
        <v/>
      </c>
      <c r="U155" s="38" t="str">
        <f t="shared" ca="1" si="67"/>
        <v/>
      </c>
      <c r="V155" s="38">
        <f t="shared" ca="1" si="68"/>
        <v>0</v>
      </c>
      <c r="W155" s="18" t="str">
        <f t="shared" ca="1" si="69"/>
        <v>n.v.t.</v>
      </c>
      <c r="X155" s="17" t="str">
        <f t="shared" ca="1" si="70"/>
        <v>ONBEKEND</v>
      </c>
      <c r="Y155" s="17" t="b">
        <f t="shared" ca="1" si="71"/>
        <v>0</v>
      </c>
      <c r="Z155" s="17" t="b">
        <f t="shared" si="72"/>
        <v>0</v>
      </c>
      <c r="AA155" s="17" t="b">
        <f t="shared" ca="1" si="73"/>
        <v>0</v>
      </c>
      <c r="AB155" s="20" t="str">
        <f t="shared" ca="1" si="74"/>
        <v/>
      </c>
      <c r="AC155" s="15"/>
      <c r="AD155" s="15"/>
      <c r="AE155" s="21"/>
      <c r="AF155" s="22"/>
    </row>
    <row r="156" spans="1:32" ht="15" customHeight="1" x14ac:dyDescent="0.3">
      <c r="A156" s="15"/>
      <c r="B156" s="17" t="str">
        <f t="shared" si="60"/>
        <v/>
      </c>
      <c r="C156" s="38" t="str">
        <f t="shared" si="61"/>
        <v/>
      </c>
      <c r="D156" s="17" t="str">
        <f t="shared" si="62"/>
        <v/>
      </c>
      <c r="E156" s="17" t="str">
        <f t="shared" si="63"/>
        <v/>
      </c>
      <c r="F156" s="15"/>
      <c r="G156" s="15"/>
      <c r="H156" s="15"/>
      <c r="I156" s="17" t="str">
        <f t="shared" si="64"/>
        <v/>
      </c>
      <c r="J156" s="18" t="str">
        <f>IFERROR(IF(I156="","",VLOOKUP(I156,Normtijden_Config!$A$4:$S$55,7,FALSE())),"")</f>
        <v/>
      </c>
      <c r="K156" s="17" t="str">
        <f>IFERROR(IF(I156="","",VLOOKUP(I156,Normtijden_Config!$A$4:$S$55,8,FALSE())),"")</f>
        <v/>
      </c>
      <c r="L156" s="18" t="str">
        <f>IF(I156="","",IFERROR(  IF(VLOOKUP(I156,Normtijden_Config!$A$4:$S$55,9,FALSE())&lt;&gt;"",     VLOOKUP(I156,Normtijden_Config!$A$4:$S$55,9,FALSE()),     IFERROR(-INDEX(tbl_Offsets_Wd,MATCH(K156&amp;"|"&amp;D156&amp;"|"&amp;E156,tbl_Offsets_Key,0)),"")),""))</f>
        <v/>
      </c>
      <c r="M156" s="17" t="str">
        <f>IFERROR(IF(I156="","",VLOOKUP(I156,Normtijden_Config!$A$4:$S$55,10,FALSE())),"")</f>
        <v/>
      </c>
      <c r="N156" s="17" t="str">
        <f>IFERROR(IF(I156="","",VLOOKUP(I156,Normtijden_Config!$A$4:$S$55,11,FALSE())),"")</f>
        <v/>
      </c>
      <c r="O156" s="15"/>
      <c r="P156" s="15"/>
      <c r="Q156" s="39"/>
      <c r="R156" s="39"/>
      <c r="S156" s="38" t="str">
        <f t="shared" si="65"/>
        <v/>
      </c>
      <c r="T156" s="38" t="str">
        <f t="shared" si="66"/>
        <v/>
      </c>
      <c r="U156" s="38" t="str">
        <f t="shared" ca="1" si="67"/>
        <v/>
      </c>
      <c r="V156" s="38">
        <f t="shared" ca="1" si="68"/>
        <v>0</v>
      </c>
      <c r="W156" s="18" t="str">
        <f t="shared" ca="1" si="69"/>
        <v>n.v.t.</v>
      </c>
      <c r="X156" s="17" t="str">
        <f t="shared" ca="1" si="70"/>
        <v>ONBEKEND</v>
      </c>
      <c r="Y156" s="17" t="b">
        <f t="shared" ca="1" si="71"/>
        <v>0</v>
      </c>
      <c r="Z156" s="17" t="b">
        <f t="shared" si="72"/>
        <v>0</v>
      </c>
      <c r="AA156" s="17" t="b">
        <f t="shared" ca="1" si="73"/>
        <v>0</v>
      </c>
      <c r="AB156" s="20" t="str">
        <f t="shared" ca="1" si="74"/>
        <v/>
      </c>
      <c r="AC156" s="15"/>
      <c r="AD156" s="15"/>
      <c r="AE156" s="21"/>
      <c r="AF156" s="22"/>
    </row>
    <row r="157" spans="1:32" ht="15" customHeight="1" x14ac:dyDescent="0.3">
      <c r="A157" s="15"/>
      <c r="B157" s="17" t="str">
        <f t="shared" si="60"/>
        <v/>
      </c>
      <c r="C157" s="38" t="str">
        <f t="shared" si="61"/>
        <v/>
      </c>
      <c r="D157" s="17" t="str">
        <f t="shared" si="62"/>
        <v/>
      </c>
      <c r="E157" s="17" t="str">
        <f t="shared" si="63"/>
        <v/>
      </c>
      <c r="F157" s="15"/>
      <c r="G157" s="15"/>
      <c r="H157" s="15"/>
      <c r="I157" s="17" t="str">
        <f t="shared" si="64"/>
        <v/>
      </c>
      <c r="J157" s="18" t="str">
        <f>IFERROR(IF(I157="","",VLOOKUP(I157,Normtijden_Config!$A$4:$S$55,7,FALSE())),"")</f>
        <v/>
      </c>
      <c r="K157" s="17" t="str">
        <f>IFERROR(IF(I157="","",VLOOKUP(I157,Normtijden_Config!$A$4:$S$55,8,FALSE())),"")</f>
        <v/>
      </c>
      <c r="L157" s="18" t="str">
        <f>IF(I157="","",IFERROR(  IF(VLOOKUP(I157,Normtijden_Config!$A$4:$S$55,9,FALSE())&lt;&gt;"",     VLOOKUP(I157,Normtijden_Config!$A$4:$S$55,9,FALSE()),     IFERROR(-INDEX(tbl_Offsets_Wd,MATCH(K157&amp;"|"&amp;D157&amp;"|"&amp;E157,tbl_Offsets_Key,0)),"")),""))</f>
        <v/>
      </c>
      <c r="M157" s="17" t="str">
        <f>IFERROR(IF(I157="","",VLOOKUP(I157,Normtijden_Config!$A$4:$S$55,10,FALSE())),"")</f>
        <v/>
      </c>
      <c r="N157" s="17" t="str">
        <f>IFERROR(IF(I157="","",VLOOKUP(I157,Normtijden_Config!$A$4:$S$55,11,FALSE())),"")</f>
        <v/>
      </c>
      <c r="O157" s="15"/>
      <c r="P157" s="15"/>
      <c r="Q157" s="39"/>
      <c r="R157" s="39"/>
      <c r="S157" s="38" t="str">
        <f t="shared" si="65"/>
        <v/>
      </c>
      <c r="T157" s="38" t="str">
        <f t="shared" si="66"/>
        <v/>
      </c>
      <c r="U157" s="38" t="str">
        <f t="shared" ca="1" si="67"/>
        <v/>
      </c>
      <c r="V157" s="38">
        <f t="shared" ca="1" si="68"/>
        <v>0</v>
      </c>
      <c r="W157" s="18" t="str">
        <f t="shared" ca="1" si="69"/>
        <v>n.v.t.</v>
      </c>
      <c r="X157" s="17" t="str">
        <f t="shared" ca="1" si="70"/>
        <v>ONBEKEND</v>
      </c>
      <c r="Y157" s="17" t="b">
        <f t="shared" ca="1" si="71"/>
        <v>0</v>
      </c>
      <c r="Z157" s="17" t="b">
        <f t="shared" si="72"/>
        <v>0</v>
      </c>
      <c r="AA157" s="17" t="b">
        <f t="shared" ca="1" si="73"/>
        <v>0</v>
      </c>
      <c r="AB157" s="20" t="str">
        <f t="shared" ca="1" si="74"/>
        <v/>
      </c>
      <c r="AC157" s="15"/>
      <c r="AD157" s="15"/>
      <c r="AE157" s="21"/>
      <c r="AF157" s="22"/>
    </row>
    <row r="158" spans="1:32" ht="15" customHeight="1" x14ac:dyDescent="0.3">
      <c r="A158" s="15"/>
      <c r="B158" s="17" t="str">
        <f t="shared" si="60"/>
        <v/>
      </c>
      <c r="C158" s="38" t="str">
        <f t="shared" si="61"/>
        <v/>
      </c>
      <c r="D158" s="17" t="str">
        <f t="shared" si="62"/>
        <v/>
      </c>
      <c r="E158" s="17" t="str">
        <f t="shared" si="63"/>
        <v/>
      </c>
      <c r="F158" s="15"/>
      <c r="G158" s="15"/>
      <c r="H158" s="15"/>
      <c r="I158" s="17" t="str">
        <f t="shared" si="64"/>
        <v/>
      </c>
      <c r="J158" s="18" t="str">
        <f>IFERROR(IF(I158="","",VLOOKUP(I158,Normtijden_Config!$A$4:$S$55,7,FALSE())),"")</f>
        <v/>
      </c>
      <c r="K158" s="17" t="str">
        <f>IFERROR(IF(I158="","",VLOOKUP(I158,Normtijden_Config!$A$4:$S$55,8,FALSE())),"")</f>
        <v/>
      </c>
      <c r="L158" s="18" t="str">
        <f>IF(I158="","",IFERROR(  IF(VLOOKUP(I158,Normtijden_Config!$A$4:$S$55,9,FALSE())&lt;&gt;"",     VLOOKUP(I158,Normtijden_Config!$A$4:$S$55,9,FALSE()),     IFERROR(-INDEX(tbl_Offsets_Wd,MATCH(K158&amp;"|"&amp;D158&amp;"|"&amp;E158,tbl_Offsets_Key,0)),"")),""))</f>
        <v/>
      </c>
      <c r="M158" s="17" t="str">
        <f>IFERROR(IF(I158="","",VLOOKUP(I158,Normtijden_Config!$A$4:$S$55,10,FALSE())),"")</f>
        <v/>
      </c>
      <c r="N158" s="17" t="str">
        <f>IFERROR(IF(I158="","",VLOOKUP(I158,Normtijden_Config!$A$4:$S$55,11,FALSE())),"")</f>
        <v/>
      </c>
      <c r="O158" s="15"/>
      <c r="P158" s="15"/>
      <c r="Q158" s="39"/>
      <c r="R158" s="39"/>
      <c r="S158" s="38" t="str">
        <f t="shared" si="65"/>
        <v/>
      </c>
      <c r="T158" s="38" t="str">
        <f t="shared" si="66"/>
        <v/>
      </c>
      <c r="U158" s="38" t="str">
        <f t="shared" ca="1" si="67"/>
        <v/>
      </c>
      <c r="V158" s="38">
        <f t="shared" ca="1" si="68"/>
        <v>0</v>
      </c>
      <c r="W158" s="18" t="str">
        <f t="shared" ca="1" si="69"/>
        <v>n.v.t.</v>
      </c>
      <c r="X158" s="17" t="str">
        <f t="shared" ca="1" si="70"/>
        <v>ONBEKEND</v>
      </c>
      <c r="Y158" s="17" t="b">
        <f t="shared" ca="1" si="71"/>
        <v>0</v>
      </c>
      <c r="Z158" s="17" t="b">
        <f t="shared" si="72"/>
        <v>0</v>
      </c>
      <c r="AA158" s="17" t="b">
        <f t="shared" ca="1" si="73"/>
        <v>0</v>
      </c>
      <c r="AB158" s="20" t="str">
        <f t="shared" ca="1" si="74"/>
        <v/>
      </c>
      <c r="AC158" s="15"/>
      <c r="AD158" s="15"/>
      <c r="AE158" s="21"/>
      <c r="AF158" s="22"/>
    </row>
    <row r="159" spans="1:32" ht="15" customHeight="1" x14ac:dyDescent="0.3">
      <c r="A159" s="15"/>
      <c r="B159" s="17" t="str">
        <f t="shared" si="60"/>
        <v/>
      </c>
      <c r="C159" s="38" t="str">
        <f t="shared" si="61"/>
        <v/>
      </c>
      <c r="D159" s="17" t="str">
        <f t="shared" si="62"/>
        <v/>
      </c>
      <c r="E159" s="17" t="str">
        <f t="shared" si="63"/>
        <v/>
      </c>
      <c r="F159" s="15"/>
      <c r="G159" s="15"/>
      <c r="H159" s="15"/>
      <c r="I159" s="17" t="str">
        <f t="shared" si="64"/>
        <v/>
      </c>
      <c r="J159" s="18" t="str">
        <f>IFERROR(IF(I159="","",VLOOKUP(I159,Normtijden_Config!$A$4:$S$55,7,FALSE())),"")</f>
        <v/>
      </c>
      <c r="K159" s="17" t="str">
        <f>IFERROR(IF(I159="","",VLOOKUP(I159,Normtijden_Config!$A$4:$S$55,8,FALSE())),"")</f>
        <v/>
      </c>
      <c r="L159" s="18" t="str">
        <f>IF(I159="","",IFERROR(  IF(VLOOKUP(I159,Normtijden_Config!$A$4:$S$55,9,FALSE())&lt;&gt;"",     VLOOKUP(I159,Normtijden_Config!$A$4:$S$55,9,FALSE()),     IFERROR(-INDEX(tbl_Offsets_Wd,MATCH(K159&amp;"|"&amp;D159&amp;"|"&amp;E159,tbl_Offsets_Key,0)),"")),""))</f>
        <v/>
      </c>
      <c r="M159" s="17" t="str">
        <f>IFERROR(IF(I159="","",VLOOKUP(I159,Normtijden_Config!$A$4:$S$55,10,FALSE())),"")</f>
        <v/>
      </c>
      <c r="N159" s="17" t="str">
        <f>IFERROR(IF(I159="","",VLOOKUP(I159,Normtijden_Config!$A$4:$S$55,11,FALSE())),"")</f>
        <v/>
      </c>
      <c r="O159" s="15"/>
      <c r="P159" s="15"/>
      <c r="Q159" s="39"/>
      <c r="R159" s="39"/>
      <c r="S159" s="38" t="str">
        <f t="shared" si="65"/>
        <v/>
      </c>
      <c r="T159" s="38" t="str">
        <f t="shared" si="66"/>
        <v/>
      </c>
      <c r="U159" s="38" t="str">
        <f t="shared" ca="1" si="67"/>
        <v/>
      </c>
      <c r="V159" s="38">
        <f t="shared" ca="1" si="68"/>
        <v>0</v>
      </c>
      <c r="W159" s="18" t="str">
        <f t="shared" ca="1" si="69"/>
        <v>n.v.t.</v>
      </c>
      <c r="X159" s="17" t="str">
        <f t="shared" ca="1" si="70"/>
        <v>ONBEKEND</v>
      </c>
      <c r="Y159" s="17" t="b">
        <f t="shared" ca="1" si="71"/>
        <v>0</v>
      </c>
      <c r="Z159" s="17" t="b">
        <f t="shared" si="72"/>
        <v>0</v>
      </c>
      <c r="AA159" s="17" t="b">
        <f t="shared" ca="1" si="73"/>
        <v>0</v>
      </c>
      <c r="AB159" s="20" t="str">
        <f t="shared" ca="1" si="74"/>
        <v/>
      </c>
      <c r="AC159" s="15"/>
      <c r="AD159" s="15"/>
      <c r="AE159" s="21"/>
      <c r="AF159" s="22"/>
    </row>
    <row r="160" spans="1:32" ht="15" customHeight="1" x14ac:dyDescent="0.3">
      <c r="A160" s="15"/>
      <c r="B160" s="17" t="str">
        <f t="shared" si="60"/>
        <v/>
      </c>
      <c r="C160" s="38" t="str">
        <f t="shared" si="61"/>
        <v/>
      </c>
      <c r="D160" s="17" t="str">
        <f t="shared" si="62"/>
        <v/>
      </c>
      <c r="E160" s="17" t="str">
        <f t="shared" si="63"/>
        <v/>
      </c>
      <c r="F160" s="15"/>
      <c r="G160" s="15"/>
      <c r="H160" s="15"/>
      <c r="I160" s="17" t="str">
        <f t="shared" si="64"/>
        <v/>
      </c>
      <c r="J160" s="18" t="str">
        <f>IFERROR(IF(I160="","",VLOOKUP(I160,Normtijden_Config!$A$4:$S$55,7,FALSE())),"")</f>
        <v/>
      </c>
      <c r="K160" s="17" t="str">
        <f>IFERROR(IF(I160="","",VLOOKUP(I160,Normtijden_Config!$A$4:$S$55,8,FALSE())),"")</f>
        <v/>
      </c>
      <c r="L160" s="18" t="str">
        <f>IF(I160="","",IFERROR(  IF(VLOOKUP(I160,Normtijden_Config!$A$4:$S$55,9,FALSE())&lt;&gt;"",     VLOOKUP(I160,Normtijden_Config!$A$4:$S$55,9,FALSE()),     IFERROR(-INDEX(tbl_Offsets_Wd,MATCH(K160&amp;"|"&amp;D160&amp;"|"&amp;E160,tbl_Offsets_Key,0)),"")),""))</f>
        <v/>
      </c>
      <c r="M160" s="17" t="str">
        <f>IFERROR(IF(I160="","",VLOOKUP(I160,Normtijden_Config!$A$4:$S$55,10,FALSE())),"")</f>
        <v/>
      </c>
      <c r="N160" s="17" t="str">
        <f>IFERROR(IF(I160="","",VLOOKUP(I160,Normtijden_Config!$A$4:$S$55,11,FALSE())),"")</f>
        <v/>
      </c>
      <c r="O160" s="15"/>
      <c r="P160" s="15"/>
      <c r="Q160" s="39"/>
      <c r="R160" s="39"/>
      <c r="S160" s="38" t="str">
        <f t="shared" si="65"/>
        <v/>
      </c>
      <c r="T160" s="38" t="str">
        <f t="shared" si="66"/>
        <v/>
      </c>
      <c r="U160" s="38" t="str">
        <f t="shared" ca="1" si="67"/>
        <v/>
      </c>
      <c r="V160" s="38">
        <f t="shared" ca="1" si="68"/>
        <v>0</v>
      </c>
      <c r="W160" s="18" t="str">
        <f t="shared" ca="1" si="69"/>
        <v>n.v.t.</v>
      </c>
      <c r="X160" s="17" t="str">
        <f t="shared" ca="1" si="70"/>
        <v>ONBEKEND</v>
      </c>
      <c r="Y160" s="17" t="b">
        <f t="shared" ca="1" si="71"/>
        <v>0</v>
      </c>
      <c r="Z160" s="17" t="b">
        <f t="shared" si="72"/>
        <v>0</v>
      </c>
      <c r="AA160" s="17" t="b">
        <f t="shared" ca="1" si="73"/>
        <v>0</v>
      </c>
      <c r="AB160" s="20" t="str">
        <f t="shared" ca="1" si="74"/>
        <v/>
      </c>
      <c r="AC160" s="15"/>
      <c r="AD160" s="15"/>
      <c r="AE160" s="21"/>
      <c r="AF160" s="22"/>
    </row>
    <row r="161" spans="1:32" ht="15" customHeight="1" x14ac:dyDescent="0.3">
      <c r="A161" s="15"/>
      <c r="B161" s="17" t="str">
        <f t="shared" si="60"/>
        <v/>
      </c>
      <c r="C161" s="38" t="str">
        <f t="shared" si="61"/>
        <v/>
      </c>
      <c r="D161" s="17" t="str">
        <f t="shared" si="62"/>
        <v/>
      </c>
      <c r="E161" s="17" t="str">
        <f t="shared" si="63"/>
        <v/>
      </c>
      <c r="F161" s="15"/>
      <c r="G161" s="15"/>
      <c r="H161" s="15"/>
      <c r="I161" s="17" t="str">
        <f t="shared" si="64"/>
        <v/>
      </c>
      <c r="J161" s="18" t="str">
        <f>IFERROR(IF(I161="","",VLOOKUP(I161,Normtijden_Config!$A$4:$S$55,7,FALSE())),"")</f>
        <v/>
      </c>
      <c r="K161" s="17" t="str">
        <f>IFERROR(IF(I161="","",VLOOKUP(I161,Normtijden_Config!$A$4:$S$55,8,FALSE())),"")</f>
        <v/>
      </c>
      <c r="L161" s="18" t="str">
        <f>IF(I161="","",IFERROR(  IF(VLOOKUP(I161,Normtijden_Config!$A$4:$S$55,9,FALSE())&lt;&gt;"",     VLOOKUP(I161,Normtijden_Config!$A$4:$S$55,9,FALSE()),     IFERROR(-INDEX(tbl_Offsets_Wd,MATCH(K161&amp;"|"&amp;D161&amp;"|"&amp;E161,tbl_Offsets_Key,0)),"")),""))</f>
        <v/>
      </c>
      <c r="M161" s="17" t="str">
        <f>IFERROR(IF(I161="","",VLOOKUP(I161,Normtijden_Config!$A$4:$S$55,10,FALSE())),"")</f>
        <v/>
      </c>
      <c r="N161" s="17" t="str">
        <f>IFERROR(IF(I161="","",VLOOKUP(I161,Normtijden_Config!$A$4:$S$55,11,FALSE())),"")</f>
        <v/>
      </c>
      <c r="O161" s="15"/>
      <c r="P161" s="15"/>
      <c r="Q161" s="39"/>
      <c r="R161" s="39"/>
      <c r="S161" s="38" t="str">
        <f t="shared" si="65"/>
        <v/>
      </c>
      <c r="T161" s="38" t="str">
        <f t="shared" si="66"/>
        <v/>
      </c>
      <c r="U161" s="38" t="str">
        <f t="shared" ca="1" si="67"/>
        <v/>
      </c>
      <c r="V161" s="38">
        <f t="shared" ca="1" si="68"/>
        <v>0</v>
      </c>
      <c r="W161" s="18" t="str">
        <f t="shared" ca="1" si="69"/>
        <v>n.v.t.</v>
      </c>
      <c r="X161" s="17" t="str">
        <f t="shared" ca="1" si="70"/>
        <v>ONBEKEND</v>
      </c>
      <c r="Y161" s="17" t="b">
        <f t="shared" ca="1" si="71"/>
        <v>0</v>
      </c>
      <c r="Z161" s="17" t="b">
        <f t="shared" si="72"/>
        <v>0</v>
      </c>
      <c r="AA161" s="17" t="b">
        <f t="shared" ca="1" si="73"/>
        <v>0</v>
      </c>
      <c r="AB161" s="20" t="str">
        <f t="shared" ca="1" si="74"/>
        <v/>
      </c>
      <c r="AC161" s="15"/>
      <c r="AD161" s="15"/>
      <c r="AE161" s="21"/>
      <c r="AF161" s="22"/>
    </row>
    <row r="162" spans="1:32" ht="15" customHeight="1" x14ac:dyDescent="0.3">
      <c r="A162" s="15"/>
      <c r="B162" s="17" t="str">
        <f t="shared" si="60"/>
        <v/>
      </c>
      <c r="C162" s="38" t="str">
        <f t="shared" si="61"/>
        <v/>
      </c>
      <c r="D162" s="17" t="str">
        <f t="shared" si="62"/>
        <v/>
      </c>
      <c r="E162" s="17" t="str">
        <f t="shared" si="63"/>
        <v/>
      </c>
      <c r="F162" s="15"/>
      <c r="G162" s="15"/>
      <c r="H162" s="15"/>
      <c r="I162" s="17" t="str">
        <f t="shared" si="64"/>
        <v/>
      </c>
      <c r="J162" s="18" t="str">
        <f>IFERROR(IF(I162="","",VLOOKUP(I162,Normtijden_Config!$A$4:$S$55,7,FALSE())),"")</f>
        <v/>
      </c>
      <c r="K162" s="17" t="str">
        <f>IFERROR(IF(I162="","",VLOOKUP(I162,Normtijden_Config!$A$4:$S$55,8,FALSE())),"")</f>
        <v/>
      </c>
      <c r="L162" s="18" t="str">
        <f>IF(I162="","",IFERROR(  IF(VLOOKUP(I162,Normtijden_Config!$A$4:$S$55,9,FALSE())&lt;&gt;"",     VLOOKUP(I162,Normtijden_Config!$A$4:$S$55,9,FALSE()),     IFERROR(-INDEX(tbl_Offsets_Wd,MATCH(K162&amp;"|"&amp;D162&amp;"|"&amp;E162,tbl_Offsets_Key,0)),"")),""))</f>
        <v/>
      </c>
      <c r="M162" s="17" t="str">
        <f>IFERROR(IF(I162="","",VLOOKUP(I162,Normtijden_Config!$A$4:$S$55,10,FALSE())),"")</f>
        <v/>
      </c>
      <c r="N162" s="17" t="str">
        <f>IFERROR(IF(I162="","",VLOOKUP(I162,Normtijden_Config!$A$4:$S$55,11,FALSE())),"")</f>
        <v/>
      </c>
      <c r="O162" s="15"/>
      <c r="P162" s="15"/>
      <c r="Q162" s="39"/>
      <c r="R162" s="39"/>
      <c r="S162" s="38" t="str">
        <f t="shared" si="65"/>
        <v/>
      </c>
      <c r="T162" s="38" t="str">
        <f t="shared" si="66"/>
        <v/>
      </c>
      <c r="U162" s="38" t="str">
        <f t="shared" ca="1" si="67"/>
        <v/>
      </c>
      <c r="V162" s="38">
        <f t="shared" ca="1" si="68"/>
        <v>0</v>
      </c>
      <c r="W162" s="18" t="str">
        <f t="shared" ca="1" si="69"/>
        <v>n.v.t.</v>
      </c>
      <c r="X162" s="17" t="str">
        <f t="shared" ca="1" si="70"/>
        <v>ONBEKEND</v>
      </c>
      <c r="Y162" s="17" t="b">
        <f t="shared" ca="1" si="71"/>
        <v>0</v>
      </c>
      <c r="Z162" s="17" t="b">
        <f t="shared" si="72"/>
        <v>0</v>
      </c>
      <c r="AA162" s="17" t="b">
        <f t="shared" ca="1" si="73"/>
        <v>0</v>
      </c>
      <c r="AB162" s="20" t="str">
        <f t="shared" ca="1" si="74"/>
        <v/>
      </c>
      <c r="AC162" s="15"/>
      <c r="AD162" s="15"/>
      <c r="AE162" s="21"/>
      <c r="AF162" s="22"/>
    </row>
    <row r="163" spans="1:32" ht="15" customHeight="1" x14ac:dyDescent="0.3">
      <c r="A163" s="15"/>
      <c r="B163" s="17" t="str">
        <f t="shared" si="60"/>
        <v/>
      </c>
      <c r="C163" s="38" t="str">
        <f t="shared" si="61"/>
        <v/>
      </c>
      <c r="D163" s="17" t="str">
        <f t="shared" si="62"/>
        <v/>
      </c>
      <c r="E163" s="17" t="str">
        <f t="shared" si="63"/>
        <v/>
      </c>
      <c r="F163" s="15"/>
      <c r="G163" s="15"/>
      <c r="H163" s="15"/>
      <c r="I163" s="17" t="str">
        <f t="shared" si="64"/>
        <v/>
      </c>
      <c r="J163" s="18" t="str">
        <f>IFERROR(IF(I163="","",VLOOKUP(I163,Normtijden_Config!$A$4:$S$55,7,FALSE())),"")</f>
        <v/>
      </c>
      <c r="K163" s="17" t="str">
        <f>IFERROR(IF(I163="","",VLOOKUP(I163,Normtijden_Config!$A$4:$S$55,8,FALSE())),"")</f>
        <v/>
      </c>
      <c r="L163" s="18" t="str">
        <f>IF(I163="","",IFERROR(  IF(VLOOKUP(I163,Normtijden_Config!$A$4:$S$55,9,FALSE())&lt;&gt;"",     VLOOKUP(I163,Normtijden_Config!$A$4:$S$55,9,FALSE()),     IFERROR(-INDEX(tbl_Offsets_Wd,MATCH(K163&amp;"|"&amp;D163&amp;"|"&amp;E163,tbl_Offsets_Key,0)),"")),""))</f>
        <v/>
      </c>
      <c r="M163" s="17" t="str">
        <f>IFERROR(IF(I163="","",VLOOKUP(I163,Normtijden_Config!$A$4:$S$55,10,FALSE())),"")</f>
        <v/>
      </c>
      <c r="N163" s="17" t="str">
        <f>IFERROR(IF(I163="","",VLOOKUP(I163,Normtijden_Config!$A$4:$S$55,11,FALSE())),"")</f>
        <v/>
      </c>
      <c r="O163" s="15"/>
      <c r="P163" s="15"/>
      <c r="Q163" s="39"/>
      <c r="R163" s="39"/>
      <c r="S163" s="38" t="str">
        <f t="shared" si="65"/>
        <v/>
      </c>
      <c r="T163" s="38" t="str">
        <f t="shared" si="66"/>
        <v/>
      </c>
      <c r="U163" s="38" t="str">
        <f t="shared" ca="1" si="67"/>
        <v/>
      </c>
      <c r="V163" s="38">
        <f t="shared" ca="1" si="68"/>
        <v>0</v>
      </c>
      <c r="W163" s="18" t="str">
        <f t="shared" ca="1" si="69"/>
        <v>n.v.t.</v>
      </c>
      <c r="X163" s="17" t="str">
        <f t="shared" ca="1" si="70"/>
        <v>ONBEKEND</v>
      </c>
      <c r="Y163" s="17" t="b">
        <f t="shared" ca="1" si="71"/>
        <v>0</v>
      </c>
      <c r="Z163" s="17" t="b">
        <f t="shared" si="72"/>
        <v>0</v>
      </c>
      <c r="AA163" s="17" t="b">
        <f t="shared" ca="1" si="73"/>
        <v>0</v>
      </c>
      <c r="AB163" s="20" t="str">
        <f t="shared" ca="1" si="74"/>
        <v/>
      </c>
      <c r="AC163" s="15"/>
      <c r="AD163" s="15"/>
      <c r="AE163" s="21"/>
      <c r="AF163" s="22"/>
    </row>
    <row r="164" spans="1:32" ht="15" customHeight="1" x14ac:dyDescent="0.3">
      <c r="A164" s="15"/>
      <c r="B164" s="17" t="str">
        <f t="shared" ref="B164:B195" si="75">IF(A164="","",IFERROR(INDEX(tbl_Proj_Naam,MATCH(A164,tbl_Proj_ID,0)),"—"))</f>
        <v/>
      </c>
      <c r="C164" s="38" t="str">
        <f t="shared" ref="C164:C200" si="76">IF(A164="","",IFERROR(INDEX(tbl_Proj_GSU,MATCH(A164,tbl_Proj_ID,0)),""))</f>
        <v/>
      </c>
      <c r="D164" s="17" t="str">
        <f t="shared" ref="D164:D200" si="77">IF(A164="","",IFERROR(INDEX(tbl_Proj_Rt,MATCH(A164,tbl_Proj_ID,0)),""))</f>
        <v/>
      </c>
      <c r="E164" s="17" t="str">
        <f t="shared" ref="E164:E200" si="78">IF(A164="","",IFERROR(INDEX(tbl_Proj_Vt,MATCH(A164,tbl_Proj_ID,0)),""))</f>
        <v/>
      </c>
      <c r="F164" s="15"/>
      <c r="G164" s="15"/>
      <c r="H164" s="15"/>
      <c r="I164" s="17" t="str">
        <f t="shared" ref="I164:I195" si="79">IF(OR(F164="",H164=""),"",IFERROR(INDEX(tbl_Keuzes_ItemID,MATCH(LEFT(F164,1)&amp;"|"&amp;G164&amp;"|"&amp;H164,tbl_Keuzes_Key,0)),""))</f>
        <v/>
      </c>
      <c r="J164" s="18" t="str">
        <f>IFERROR(IF(I164="","",VLOOKUP(I164,Normtijden_Config!$A$4:$S$55,7,FALSE())),"")</f>
        <v/>
      </c>
      <c r="K164" s="17" t="str">
        <f>IFERROR(IF(I164="","",VLOOKUP(I164,Normtijden_Config!$A$4:$S$55,8,FALSE())),"")</f>
        <v/>
      </c>
      <c r="L164" s="18" t="str">
        <f>IF(I164="","",IFERROR(  IF(VLOOKUP(I164,Normtijden_Config!$A$4:$S$55,9,FALSE())&lt;&gt;"",     VLOOKUP(I164,Normtijden_Config!$A$4:$S$55,9,FALSE()),     IFERROR(-INDEX(tbl_Offsets_Wd,MATCH(K164&amp;"|"&amp;D164&amp;"|"&amp;E164,tbl_Offsets_Key,0)),"")),""))</f>
        <v/>
      </c>
      <c r="M164" s="17" t="str">
        <f>IFERROR(IF(I164="","",VLOOKUP(I164,Normtijden_Config!$A$4:$S$55,10,FALSE())),"")</f>
        <v/>
      </c>
      <c r="N164" s="17" t="str">
        <f>IFERROR(IF(I164="","",VLOOKUP(I164,Normtijden_Config!$A$4:$S$55,11,FALSE())),"")</f>
        <v/>
      </c>
      <c r="O164" s="15"/>
      <c r="P164" s="15"/>
      <c r="Q164" s="39"/>
      <c r="R164" s="39"/>
      <c r="S164" s="38" t="str">
        <f t="shared" ref="S164:S200" si="80">IF(OR(C164="",L164=""),"",WORKDAY(C164,-L164))</f>
        <v/>
      </c>
      <c r="T164" s="38" t="str">
        <f t="shared" ref="T164:T195" si="81">IF(OR(S164="",J164=""),"",WORKDAY(S164,-J164))</f>
        <v/>
      </c>
      <c r="U164" s="38" t="str">
        <f t="shared" ref="U164:U200" ca="1" si="82">IF(R164&lt;&gt;"",R164,IF(AND(Q164&lt;&gt;"",ISNUMBER(J164)),WORKDAY(Q164,J164),IF(AND(P164="Nodig",ISNUMBER(J164)),WORKDAY(TODAY(),J164),"")))</f>
        <v/>
      </c>
      <c r="V164" s="38">
        <f t="shared" ref="V164:V195" ca="1" si="83">IF(OR(P164="Afgerond",P164="Goedgekeurd",P164="N.v.t"),0,IF(OR(U164="",L164=""),0,WORKDAY(U164,L164)))</f>
        <v>0</v>
      </c>
      <c r="W164" s="18" t="str">
        <f t="shared" ref="W164:W200" ca="1" si="84">IF(P164="N.v.t","",IF(OR(P164="Afgerond",P164="Goedgekeurd"),"✓",IF(J164="","n.v.t.",IF(Q164="",J164,J164-NETWORKDAYS(Q164,TODAY())+1))))</f>
        <v>n.v.t.</v>
      </c>
      <c r="X164" s="17" t="str">
        <f t="shared" ref="X164:X200" ca="1" si="85">IF(OR(U164="",S164=""),"ONBEKEND",IF(U164&lt;=S164,"JA",IF(U164&lt;=C164,"KRAP","NEE")))</f>
        <v>ONBEKEND</v>
      </c>
      <c r="Y164" s="17" t="b">
        <f t="shared" ref="Y164:Y195" ca="1" si="86">IF(A164="",FALSE(),OR(X164="KRAP",AND(P164="Nodig",IFERROR(TODAY()&gt;=T164-10,FALSE())),AND(P164="Ingediend",ISNUMBER(W164),W164&lt;=5,W164&gt;0),P164="Afgewezen"))</f>
        <v>0</v>
      </c>
      <c r="Z164" s="17" t="b">
        <f t="shared" ref="Z164:Z200" si="87">IF(A164="",FALSE(),AND(M164=TRUE(),OR(X164="NEE",AND(ISNUMBER(W164),W164&lt;0))))</f>
        <v>0</v>
      </c>
      <c r="AA164" s="17" t="b">
        <f t="shared" ref="AA164:AA200" ca="1" si="88">IF(A164="",FALSE(),AND(N164=TRUE(),OR(P164="Nodig",P164="Ingediend",P164="Afgewezen"),IFERROR(TODAY()&gt;S164,FALSE())))</f>
        <v>0</v>
      </c>
      <c r="AB164" s="20" t="str">
        <f t="shared" ref="AB164:AB195" ca="1" si="89">IF(A164="","",IF(P164="N.v.t","⚪",IF(OR(P164="Afgerond",P164="Goedgekeurd"),"🟢",IF(Z164=TRUE(),"🔴",IF(AA164=TRUE(),"🔴",IF(Y164=TRUE(),"🟠",IF(AND(F164="G-Schouw",J164=""),IF(P164="Ingediend","🟠",IF(AND(C164&lt;&gt;"",TODAY()&gt;C164-28),"🔴","🟠")),"🟢")))))))</f>
        <v/>
      </c>
      <c r="AC164" s="15"/>
      <c r="AD164" s="15"/>
      <c r="AE164" s="21"/>
      <c r="AF164" s="22"/>
    </row>
    <row r="165" spans="1:32" ht="15" customHeight="1" x14ac:dyDescent="0.3">
      <c r="A165" s="15"/>
      <c r="B165" s="17" t="str">
        <f t="shared" si="75"/>
        <v/>
      </c>
      <c r="C165" s="38" t="str">
        <f t="shared" si="76"/>
        <v/>
      </c>
      <c r="D165" s="17" t="str">
        <f t="shared" si="77"/>
        <v/>
      </c>
      <c r="E165" s="17" t="str">
        <f t="shared" si="78"/>
        <v/>
      </c>
      <c r="F165" s="15"/>
      <c r="G165" s="15"/>
      <c r="H165" s="15"/>
      <c r="I165" s="17" t="str">
        <f t="shared" si="79"/>
        <v/>
      </c>
      <c r="J165" s="18" t="str">
        <f>IFERROR(IF(I165="","",VLOOKUP(I165,Normtijden_Config!$A$4:$S$55,7,FALSE())),"")</f>
        <v/>
      </c>
      <c r="K165" s="17" t="str">
        <f>IFERROR(IF(I165="","",VLOOKUP(I165,Normtijden_Config!$A$4:$S$55,8,FALSE())),"")</f>
        <v/>
      </c>
      <c r="L165" s="18" t="str">
        <f>IF(I165="","",IFERROR(  IF(VLOOKUP(I165,Normtijden_Config!$A$4:$S$55,9,FALSE())&lt;&gt;"",     VLOOKUP(I165,Normtijden_Config!$A$4:$S$55,9,FALSE()),     IFERROR(-INDEX(tbl_Offsets_Wd,MATCH(K165&amp;"|"&amp;D165&amp;"|"&amp;E165,tbl_Offsets_Key,0)),"")),""))</f>
        <v/>
      </c>
      <c r="M165" s="17" t="str">
        <f>IFERROR(IF(I165="","",VLOOKUP(I165,Normtijden_Config!$A$4:$S$55,10,FALSE())),"")</f>
        <v/>
      </c>
      <c r="N165" s="17" t="str">
        <f>IFERROR(IF(I165="","",VLOOKUP(I165,Normtijden_Config!$A$4:$S$55,11,FALSE())),"")</f>
        <v/>
      </c>
      <c r="O165" s="15"/>
      <c r="P165" s="15"/>
      <c r="Q165" s="39"/>
      <c r="R165" s="39"/>
      <c r="S165" s="38" t="str">
        <f t="shared" si="80"/>
        <v/>
      </c>
      <c r="T165" s="38" t="str">
        <f t="shared" si="81"/>
        <v/>
      </c>
      <c r="U165" s="38" t="str">
        <f t="shared" ca="1" si="82"/>
        <v/>
      </c>
      <c r="V165" s="38">
        <f t="shared" ca="1" si="83"/>
        <v>0</v>
      </c>
      <c r="W165" s="18" t="str">
        <f t="shared" ca="1" si="84"/>
        <v>n.v.t.</v>
      </c>
      <c r="X165" s="17" t="str">
        <f t="shared" ca="1" si="85"/>
        <v>ONBEKEND</v>
      </c>
      <c r="Y165" s="17" t="b">
        <f t="shared" ca="1" si="86"/>
        <v>0</v>
      </c>
      <c r="Z165" s="17" t="b">
        <f t="shared" si="87"/>
        <v>0</v>
      </c>
      <c r="AA165" s="17" t="b">
        <f t="shared" ca="1" si="88"/>
        <v>0</v>
      </c>
      <c r="AB165" s="20" t="str">
        <f t="shared" ca="1" si="89"/>
        <v/>
      </c>
      <c r="AC165" s="15"/>
      <c r="AD165" s="15"/>
      <c r="AE165" s="21"/>
      <c r="AF165" s="22"/>
    </row>
    <row r="166" spans="1:32" ht="15" customHeight="1" x14ac:dyDescent="0.3">
      <c r="A166" s="15"/>
      <c r="B166" s="17" t="str">
        <f t="shared" si="75"/>
        <v/>
      </c>
      <c r="C166" s="38" t="str">
        <f t="shared" si="76"/>
        <v/>
      </c>
      <c r="D166" s="17" t="str">
        <f t="shared" si="77"/>
        <v/>
      </c>
      <c r="E166" s="17" t="str">
        <f t="shared" si="78"/>
        <v/>
      </c>
      <c r="F166" s="15"/>
      <c r="G166" s="15"/>
      <c r="H166" s="15"/>
      <c r="I166" s="17" t="str">
        <f t="shared" si="79"/>
        <v/>
      </c>
      <c r="J166" s="18" t="str">
        <f>IFERROR(IF(I166="","",VLOOKUP(I166,Normtijden_Config!$A$4:$S$55,7,FALSE())),"")</f>
        <v/>
      </c>
      <c r="K166" s="17" t="str">
        <f>IFERROR(IF(I166="","",VLOOKUP(I166,Normtijden_Config!$A$4:$S$55,8,FALSE())),"")</f>
        <v/>
      </c>
      <c r="L166" s="18" t="str">
        <f>IF(I166="","",IFERROR(  IF(VLOOKUP(I166,Normtijden_Config!$A$4:$S$55,9,FALSE())&lt;&gt;"",     VLOOKUP(I166,Normtijden_Config!$A$4:$S$55,9,FALSE()),     IFERROR(-INDEX(tbl_Offsets_Wd,MATCH(K166&amp;"|"&amp;D166&amp;"|"&amp;E166,tbl_Offsets_Key,0)),"")),""))</f>
        <v/>
      </c>
      <c r="M166" s="17" t="str">
        <f>IFERROR(IF(I166="","",VLOOKUP(I166,Normtijden_Config!$A$4:$S$55,10,FALSE())),"")</f>
        <v/>
      </c>
      <c r="N166" s="17" t="str">
        <f>IFERROR(IF(I166="","",VLOOKUP(I166,Normtijden_Config!$A$4:$S$55,11,FALSE())),"")</f>
        <v/>
      </c>
      <c r="O166" s="15"/>
      <c r="P166" s="15"/>
      <c r="Q166" s="39"/>
      <c r="R166" s="39"/>
      <c r="S166" s="38" t="str">
        <f t="shared" si="80"/>
        <v/>
      </c>
      <c r="T166" s="38" t="str">
        <f t="shared" si="81"/>
        <v/>
      </c>
      <c r="U166" s="38" t="str">
        <f t="shared" ca="1" si="82"/>
        <v/>
      </c>
      <c r="V166" s="38">
        <f t="shared" ca="1" si="83"/>
        <v>0</v>
      </c>
      <c r="W166" s="18" t="str">
        <f t="shared" ca="1" si="84"/>
        <v>n.v.t.</v>
      </c>
      <c r="X166" s="17" t="str">
        <f t="shared" ca="1" si="85"/>
        <v>ONBEKEND</v>
      </c>
      <c r="Y166" s="17" t="b">
        <f t="shared" ca="1" si="86"/>
        <v>0</v>
      </c>
      <c r="Z166" s="17" t="b">
        <f t="shared" si="87"/>
        <v>0</v>
      </c>
      <c r="AA166" s="17" t="b">
        <f t="shared" ca="1" si="88"/>
        <v>0</v>
      </c>
      <c r="AB166" s="20" t="str">
        <f t="shared" ca="1" si="89"/>
        <v/>
      </c>
      <c r="AC166" s="15"/>
      <c r="AD166" s="15"/>
      <c r="AE166" s="21"/>
      <c r="AF166" s="22"/>
    </row>
    <row r="167" spans="1:32" ht="15" customHeight="1" x14ac:dyDescent="0.3">
      <c r="A167" s="15"/>
      <c r="B167" s="17" t="str">
        <f t="shared" si="75"/>
        <v/>
      </c>
      <c r="C167" s="38" t="str">
        <f t="shared" si="76"/>
        <v/>
      </c>
      <c r="D167" s="17" t="str">
        <f t="shared" si="77"/>
        <v/>
      </c>
      <c r="E167" s="17" t="str">
        <f t="shared" si="78"/>
        <v/>
      </c>
      <c r="F167" s="15"/>
      <c r="G167" s="15"/>
      <c r="H167" s="15"/>
      <c r="I167" s="17" t="str">
        <f t="shared" si="79"/>
        <v/>
      </c>
      <c r="J167" s="18" t="str">
        <f>IFERROR(IF(I167="","",VLOOKUP(I167,Normtijden_Config!$A$4:$S$55,7,FALSE())),"")</f>
        <v/>
      </c>
      <c r="K167" s="17" t="str">
        <f>IFERROR(IF(I167="","",VLOOKUP(I167,Normtijden_Config!$A$4:$S$55,8,FALSE())),"")</f>
        <v/>
      </c>
      <c r="L167" s="18" t="str">
        <f>IF(I167="","",IFERROR(  IF(VLOOKUP(I167,Normtijden_Config!$A$4:$S$55,9,FALSE())&lt;&gt;"",     VLOOKUP(I167,Normtijden_Config!$A$4:$S$55,9,FALSE()),     IFERROR(-INDEX(tbl_Offsets_Wd,MATCH(K167&amp;"|"&amp;D167&amp;"|"&amp;E167,tbl_Offsets_Key,0)),"")),""))</f>
        <v/>
      </c>
      <c r="M167" s="17" t="str">
        <f>IFERROR(IF(I167="","",VLOOKUP(I167,Normtijden_Config!$A$4:$S$55,10,FALSE())),"")</f>
        <v/>
      </c>
      <c r="N167" s="17" t="str">
        <f>IFERROR(IF(I167="","",VLOOKUP(I167,Normtijden_Config!$A$4:$S$55,11,FALSE())),"")</f>
        <v/>
      </c>
      <c r="O167" s="15"/>
      <c r="P167" s="15"/>
      <c r="Q167" s="39"/>
      <c r="R167" s="39"/>
      <c r="S167" s="38" t="str">
        <f t="shared" si="80"/>
        <v/>
      </c>
      <c r="T167" s="38" t="str">
        <f t="shared" si="81"/>
        <v/>
      </c>
      <c r="U167" s="38" t="str">
        <f t="shared" ca="1" si="82"/>
        <v/>
      </c>
      <c r="V167" s="38">
        <f t="shared" ca="1" si="83"/>
        <v>0</v>
      </c>
      <c r="W167" s="18" t="str">
        <f t="shared" ca="1" si="84"/>
        <v>n.v.t.</v>
      </c>
      <c r="X167" s="17" t="str">
        <f t="shared" ca="1" si="85"/>
        <v>ONBEKEND</v>
      </c>
      <c r="Y167" s="17" t="b">
        <f t="shared" ca="1" si="86"/>
        <v>0</v>
      </c>
      <c r="Z167" s="17" t="b">
        <f t="shared" si="87"/>
        <v>0</v>
      </c>
      <c r="AA167" s="17" t="b">
        <f t="shared" ca="1" si="88"/>
        <v>0</v>
      </c>
      <c r="AB167" s="20" t="str">
        <f t="shared" ca="1" si="89"/>
        <v/>
      </c>
      <c r="AC167" s="15"/>
      <c r="AD167" s="15"/>
      <c r="AE167" s="21"/>
      <c r="AF167" s="22"/>
    </row>
    <row r="168" spans="1:32" ht="15" customHeight="1" x14ac:dyDescent="0.3">
      <c r="A168" s="15"/>
      <c r="B168" s="17" t="str">
        <f t="shared" si="75"/>
        <v/>
      </c>
      <c r="C168" s="38" t="str">
        <f t="shared" si="76"/>
        <v/>
      </c>
      <c r="D168" s="17" t="str">
        <f t="shared" si="77"/>
        <v/>
      </c>
      <c r="E168" s="17" t="str">
        <f t="shared" si="78"/>
        <v/>
      </c>
      <c r="F168" s="15"/>
      <c r="G168" s="15"/>
      <c r="H168" s="15"/>
      <c r="I168" s="17" t="str">
        <f t="shared" si="79"/>
        <v/>
      </c>
      <c r="J168" s="18" t="str">
        <f>IFERROR(IF(I168="","",VLOOKUP(I168,Normtijden_Config!$A$4:$S$55,7,FALSE())),"")</f>
        <v/>
      </c>
      <c r="K168" s="17" t="str">
        <f>IFERROR(IF(I168="","",VLOOKUP(I168,Normtijden_Config!$A$4:$S$55,8,FALSE())),"")</f>
        <v/>
      </c>
      <c r="L168" s="18" t="str">
        <f>IF(I168="","",IFERROR(  IF(VLOOKUP(I168,Normtijden_Config!$A$4:$S$55,9,FALSE())&lt;&gt;"",     VLOOKUP(I168,Normtijden_Config!$A$4:$S$55,9,FALSE()),     IFERROR(-INDEX(tbl_Offsets_Wd,MATCH(K168&amp;"|"&amp;D168&amp;"|"&amp;E168,tbl_Offsets_Key,0)),"")),""))</f>
        <v/>
      </c>
      <c r="M168" s="17" t="str">
        <f>IFERROR(IF(I168="","",VLOOKUP(I168,Normtijden_Config!$A$4:$S$55,10,FALSE())),"")</f>
        <v/>
      </c>
      <c r="N168" s="17" t="str">
        <f>IFERROR(IF(I168="","",VLOOKUP(I168,Normtijden_Config!$A$4:$S$55,11,FALSE())),"")</f>
        <v/>
      </c>
      <c r="O168" s="15"/>
      <c r="P168" s="15"/>
      <c r="Q168" s="39"/>
      <c r="R168" s="39"/>
      <c r="S168" s="38" t="str">
        <f t="shared" si="80"/>
        <v/>
      </c>
      <c r="T168" s="38" t="str">
        <f t="shared" si="81"/>
        <v/>
      </c>
      <c r="U168" s="38" t="str">
        <f t="shared" ca="1" si="82"/>
        <v/>
      </c>
      <c r="V168" s="38">
        <f t="shared" ca="1" si="83"/>
        <v>0</v>
      </c>
      <c r="W168" s="18" t="str">
        <f t="shared" ca="1" si="84"/>
        <v>n.v.t.</v>
      </c>
      <c r="X168" s="17" t="str">
        <f t="shared" ca="1" si="85"/>
        <v>ONBEKEND</v>
      </c>
      <c r="Y168" s="17" t="b">
        <f t="shared" ca="1" si="86"/>
        <v>0</v>
      </c>
      <c r="Z168" s="17" t="b">
        <f t="shared" si="87"/>
        <v>0</v>
      </c>
      <c r="AA168" s="17" t="b">
        <f t="shared" ca="1" si="88"/>
        <v>0</v>
      </c>
      <c r="AB168" s="20" t="str">
        <f t="shared" ca="1" si="89"/>
        <v/>
      </c>
      <c r="AC168" s="15"/>
      <c r="AD168" s="15"/>
      <c r="AE168" s="21"/>
      <c r="AF168" s="22"/>
    </row>
    <row r="169" spans="1:32" ht="15" customHeight="1" x14ac:dyDescent="0.3">
      <c r="A169" s="15"/>
      <c r="B169" s="17" t="str">
        <f t="shared" si="75"/>
        <v/>
      </c>
      <c r="C169" s="38" t="str">
        <f t="shared" si="76"/>
        <v/>
      </c>
      <c r="D169" s="17" t="str">
        <f t="shared" si="77"/>
        <v/>
      </c>
      <c r="E169" s="17" t="str">
        <f t="shared" si="78"/>
        <v/>
      </c>
      <c r="F169" s="15"/>
      <c r="G169" s="15"/>
      <c r="H169" s="15"/>
      <c r="I169" s="17" t="str">
        <f t="shared" si="79"/>
        <v/>
      </c>
      <c r="J169" s="18" t="str">
        <f>IFERROR(IF(I169="","",VLOOKUP(I169,Normtijden_Config!$A$4:$S$55,7,FALSE())),"")</f>
        <v/>
      </c>
      <c r="K169" s="17" t="str">
        <f>IFERROR(IF(I169="","",VLOOKUP(I169,Normtijden_Config!$A$4:$S$55,8,FALSE())),"")</f>
        <v/>
      </c>
      <c r="L169" s="18" t="str">
        <f>IF(I169="","",IFERROR(  IF(VLOOKUP(I169,Normtijden_Config!$A$4:$S$55,9,FALSE())&lt;&gt;"",     VLOOKUP(I169,Normtijden_Config!$A$4:$S$55,9,FALSE()),     IFERROR(-INDEX(tbl_Offsets_Wd,MATCH(K169&amp;"|"&amp;D169&amp;"|"&amp;E169,tbl_Offsets_Key,0)),"")),""))</f>
        <v/>
      </c>
      <c r="M169" s="17" t="str">
        <f>IFERROR(IF(I169="","",VLOOKUP(I169,Normtijden_Config!$A$4:$S$55,10,FALSE())),"")</f>
        <v/>
      </c>
      <c r="N169" s="17" t="str">
        <f>IFERROR(IF(I169="","",VLOOKUP(I169,Normtijden_Config!$A$4:$S$55,11,FALSE())),"")</f>
        <v/>
      </c>
      <c r="O169" s="15"/>
      <c r="P169" s="15"/>
      <c r="Q169" s="39"/>
      <c r="R169" s="39"/>
      <c r="S169" s="38" t="str">
        <f t="shared" si="80"/>
        <v/>
      </c>
      <c r="T169" s="38" t="str">
        <f t="shared" si="81"/>
        <v/>
      </c>
      <c r="U169" s="38" t="str">
        <f t="shared" ca="1" si="82"/>
        <v/>
      </c>
      <c r="V169" s="38">
        <f t="shared" ca="1" si="83"/>
        <v>0</v>
      </c>
      <c r="W169" s="18" t="str">
        <f t="shared" ca="1" si="84"/>
        <v>n.v.t.</v>
      </c>
      <c r="X169" s="17" t="str">
        <f t="shared" ca="1" si="85"/>
        <v>ONBEKEND</v>
      </c>
      <c r="Y169" s="17" t="b">
        <f t="shared" ca="1" si="86"/>
        <v>0</v>
      </c>
      <c r="Z169" s="17" t="b">
        <f t="shared" si="87"/>
        <v>0</v>
      </c>
      <c r="AA169" s="17" t="b">
        <f t="shared" ca="1" si="88"/>
        <v>0</v>
      </c>
      <c r="AB169" s="20" t="str">
        <f t="shared" ca="1" si="89"/>
        <v/>
      </c>
      <c r="AC169" s="15"/>
      <c r="AD169" s="15"/>
      <c r="AE169" s="21"/>
      <c r="AF169" s="22"/>
    </row>
    <row r="170" spans="1:32" ht="15" customHeight="1" x14ac:dyDescent="0.3">
      <c r="A170" s="15"/>
      <c r="B170" s="17" t="str">
        <f t="shared" si="75"/>
        <v/>
      </c>
      <c r="C170" s="38" t="str">
        <f t="shared" si="76"/>
        <v/>
      </c>
      <c r="D170" s="17" t="str">
        <f t="shared" si="77"/>
        <v/>
      </c>
      <c r="E170" s="17" t="str">
        <f t="shared" si="78"/>
        <v/>
      </c>
      <c r="F170" s="15"/>
      <c r="G170" s="15"/>
      <c r="H170" s="15"/>
      <c r="I170" s="17" t="str">
        <f t="shared" si="79"/>
        <v/>
      </c>
      <c r="J170" s="18" t="str">
        <f>IFERROR(IF(I170="","",VLOOKUP(I170,Normtijden_Config!$A$4:$S$55,7,FALSE())),"")</f>
        <v/>
      </c>
      <c r="K170" s="17" t="str">
        <f>IFERROR(IF(I170="","",VLOOKUP(I170,Normtijden_Config!$A$4:$S$55,8,FALSE())),"")</f>
        <v/>
      </c>
      <c r="L170" s="18" t="str">
        <f>IF(I170="","",IFERROR(  IF(VLOOKUP(I170,Normtijden_Config!$A$4:$S$55,9,FALSE())&lt;&gt;"",     VLOOKUP(I170,Normtijden_Config!$A$4:$S$55,9,FALSE()),     IFERROR(-INDEX(tbl_Offsets_Wd,MATCH(K170&amp;"|"&amp;D170&amp;"|"&amp;E170,tbl_Offsets_Key,0)),"")),""))</f>
        <v/>
      </c>
      <c r="M170" s="17" t="str">
        <f>IFERROR(IF(I170="","",VLOOKUP(I170,Normtijden_Config!$A$4:$S$55,10,FALSE())),"")</f>
        <v/>
      </c>
      <c r="N170" s="17" t="str">
        <f>IFERROR(IF(I170="","",VLOOKUP(I170,Normtijden_Config!$A$4:$S$55,11,FALSE())),"")</f>
        <v/>
      </c>
      <c r="O170" s="15"/>
      <c r="P170" s="15"/>
      <c r="Q170" s="39"/>
      <c r="R170" s="39"/>
      <c r="S170" s="38" t="str">
        <f t="shared" si="80"/>
        <v/>
      </c>
      <c r="T170" s="38" t="str">
        <f t="shared" si="81"/>
        <v/>
      </c>
      <c r="U170" s="38" t="str">
        <f t="shared" ca="1" si="82"/>
        <v/>
      </c>
      <c r="V170" s="38">
        <f t="shared" ca="1" si="83"/>
        <v>0</v>
      </c>
      <c r="W170" s="18" t="str">
        <f t="shared" ca="1" si="84"/>
        <v>n.v.t.</v>
      </c>
      <c r="X170" s="17" t="str">
        <f t="shared" ca="1" si="85"/>
        <v>ONBEKEND</v>
      </c>
      <c r="Y170" s="17" t="b">
        <f t="shared" ca="1" si="86"/>
        <v>0</v>
      </c>
      <c r="Z170" s="17" t="b">
        <f t="shared" si="87"/>
        <v>0</v>
      </c>
      <c r="AA170" s="17" t="b">
        <f t="shared" ca="1" si="88"/>
        <v>0</v>
      </c>
      <c r="AB170" s="20" t="str">
        <f t="shared" ca="1" si="89"/>
        <v/>
      </c>
      <c r="AC170" s="15"/>
      <c r="AD170" s="15"/>
      <c r="AE170" s="21"/>
      <c r="AF170" s="22"/>
    </row>
    <row r="171" spans="1:32" ht="15" customHeight="1" x14ac:dyDescent="0.3">
      <c r="A171" s="15"/>
      <c r="B171" s="17" t="str">
        <f t="shared" si="75"/>
        <v/>
      </c>
      <c r="C171" s="38" t="str">
        <f t="shared" si="76"/>
        <v/>
      </c>
      <c r="D171" s="17" t="str">
        <f t="shared" si="77"/>
        <v/>
      </c>
      <c r="E171" s="17" t="str">
        <f t="shared" si="78"/>
        <v/>
      </c>
      <c r="F171" s="15"/>
      <c r="G171" s="15"/>
      <c r="H171" s="15"/>
      <c r="I171" s="17" t="str">
        <f t="shared" si="79"/>
        <v/>
      </c>
      <c r="J171" s="18" t="str">
        <f>IFERROR(IF(I171="","",VLOOKUP(I171,Normtijden_Config!$A$4:$S$55,7,FALSE())),"")</f>
        <v/>
      </c>
      <c r="K171" s="17" t="str">
        <f>IFERROR(IF(I171="","",VLOOKUP(I171,Normtijden_Config!$A$4:$S$55,8,FALSE())),"")</f>
        <v/>
      </c>
      <c r="L171" s="18" t="str">
        <f>IF(I171="","",IFERROR(  IF(VLOOKUP(I171,Normtijden_Config!$A$4:$S$55,9,FALSE())&lt;&gt;"",     VLOOKUP(I171,Normtijden_Config!$A$4:$S$55,9,FALSE()),     IFERROR(-INDEX(tbl_Offsets_Wd,MATCH(K171&amp;"|"&amp;D171&amp;"|"&amp;E171,tbl_Offsets_Key,0)),"")),""))</f>
        <v/>
      </c>
      <c r="M171" s="17" t="str">
        <f>IFERROR(IF(I171="","",VLOOKUP(I171,Normtijden_Config!$A$4:$S$55,10,FALSE())),"")</f>
        <v/>
      </c>
      <c r="N171" s="17" t="str">
        <f>IFERROR(IF(I171="","",VLOOKUP(I171,Normtijden_Config!$A$4:$S$55,11,FALSE())),"")</f>
        <v/>
      </c>
      <c r="O171" s="15"/>
      <c r="P171" s="15"/>
      <c r="Q171" s="39"/>
      <c r="R171" s="39"/>
      <c r="S171" s="38" t="str">
        <f t="shared" si="80"/>
        <v/>
      </c>
      <c r="T171" s="38" t="str">
        <f t="shared" si="81"/>
        <v/>
      </c>
      <c r="U171" s="38" t="str">
        <f t="shared" ca="1" si="82"/>
        <v/>
      </c>
      <c r="V171" s="38">
        <f t="shared" ca="1" si="83"/>
        <v>0</v>
      </c>
      <c r="W171" s="18" t="str">
        <f t="shared" ca="1" si="84"/>
        <v>n.v.t.</v>
      </c>
      <c r="X171" s="17" t="str">
        <f t="shared" ca="1" si="85"/>
        <v>ONBEKEND</v>
      </c>
      <c r="Y171" s="17" t="b">
        <f t="shared" ca="1" si="86"/>
        <v>0</v>
      </c>
      <c r="Z171" s="17" t="b">
        <f t="shared" si="87"/>
        <v>0</v>
      </c>
      <c r="AA171" s="17" t="b">
        <f t="shared" ca="1" si="88"/>
        <v>0</v>
      </c>
      <c r="AB171" s="20" t="str">
        <f t="shared" ca="1" si="89"/>
        <v/>
      </c>
      <c r="AC171" s="15"/>
      <c r="AD171" s="15"/>
      <c r="AE171" s="21"/>
      <c r="AF171" s="22"/>
    </row>
    <row r="172" spans="1:32" ht="15" customHeight="1" x14ac:dyDescent="0.3">
      <c r="A172" s="15"/>
      <c r="B172" s="17" t="str">
        <f t="shared" si="75"/>
        <v/>
      </c>
      <c r="C172" s="38" t="str">
        <f t="shared" si="76"/>
        <v/>
      </c>
      <c r="D172" s="17" t="str">
        <f t="shared" si="77"/>
        <v/>
      </c>
      <c r="E172" s="17" t="str">
        <f t="shared" si="78"/>
        <v/>
      </c>
      <c r="F172" s="15"/>
      <c r="G172" s="15"/>
      <c r="H172" s="15"/>
      <c r="I172" s="17" t="str">
        <f t="shared" si="79"/>
        <v/>
      </c>
      <c r="J172" s="18" t="str">
        <f>IFERROR(IF(I172="","",VLOOKUP(I172,Normtijden_Config!$A$4:$S$55,7,FALSE())),"")</f>
        <v/>
      </c>
      <c r="K172" s="17" t="str">
        <f>IFERROR(IF(I172="","",VLOOKUP(I172,Normtijden_Config!$A$4:$S$55,8,FALSE())),"")</f>
        <v/>
      </c>
      <c r="L172" s="18" t="str">
        <f>IF(I172="","",IFERROR(  IF(VLOOKUP(I172,Normtijden_Config!$A$4:$S$55,9,FALSE())&lt;&gt;"",     VLOOKUP(I172,Normtijden_Config!$A$4:$S$55,9,FALSE()),     IFERROR(-INDEX(tbl_Offsets_Wd,MATCH(K172&amp;"|"&amp;D172&amp;"|"&amp;E172,tbl_Offsets_Key,0)),"")),""))</f>
        <v/>
      </c>
      <c r="M172" s="17" t="str">
        <f>IFERROR(IF(I172="","",VLOOKUP(I172,Normtijden_Config!$A$4:$S$55,10,FALSE())),"")</f>
        <v/>
      </c>
      <c r="N172" s="17" t="str">
        <f>IFERROR(IF(I172="","",VLOOKUP(I172,Normtijden_Config!$A$4:$S$55,11,FALSE())),"")</f>
        <v/>
      </c>
      <c r="O172" s="15"/>
      <c r="P172" s="15"/>
      <c r="Q172" s="39"/>
      <c r="R172" s="39"/>
      <c r="S172" s="38" t="str">
        <f t="shared" si="80"/>
        <v/>
      </c>
      <c r="T172" s="38" t="str">
        <f t="shared" si="81"/>
        <v/>
      </c>
      <c r="U172" s="38" t="str">
        <f t="shared" ca="1" si="82"/>
        <v/>
      </c>
      <c r="V172" s="38">
        <f t="shared" ca="1" si="83"/>
        <v>0</v>
      </c>
      <c r="W172" s="18" t="str">
        <f t="shared" ca="1" si="84"/>
        <v>n.v.t.</v>
      </c>
      <c r="X172" s="17" t="str">
        <f t="shared" ca="1" si="85"/>
        <v>ONBEKEND</v>
      </c>
      <c r="Y172" s="17" t="b">
        <f t="shared" ca="1" si="86"/>
        <v>0</v>
      </c>
      <c r="Z172" s="17" t="b">
        <f t="shared" si="87"/>
        <v>0</v>
      </c>
      <c r="AA172" s="17" t="b">
        <f t="shared" ca="1" si="88"/>
        <v>0</v>
      </c>
      <c r="AB172" s="20" t="str">
        <f t="shared" ca="1" si="89"/>
        <v/>
      </c>
      <c r="AC172" s="15"/>
      <c r="AD172" s="15"/>
      <c r="AE172" s="21"/>
      <c r="AF172" s="22"/>
    </row>
    <row r="173" spans="1:32" ht="15" customHeight="1" x14ac:dyDescent="0.3">
      <c r="A173" s="15"/>
      <c r="B173" s="17" t="str">
        <f t="shared" si="75"/>
        <v/>
      </c>
      <c r="C173" s="38" t="str">
        <f t="shared" si="76"/>
        <v/>
      </c>
      <c r="D173" s="17" t="str">
        <f t="shared" si="77"/>
        <v/>
      </c>
      <c r="E173" s="17" t="str">
        <f t="shared" si="78"/>
        <v/>
      </c>
      <c r="F173" s="15"/>
      <c r="G173" s="15"/>
      <c r="H173" s="15"/>
      <c r="I173" s="17" t="str">
        <f t="shared" si="79"/>
        <v/>
      </c>
      <c r="J173" s="18" t="str">
        <f>IFERROR(IF(I173="","",VLOOKUP(I173,Normtijden_Config!$A$4:$S$55,7,FALSE())),"")</f>
        <v/>
      </c>
      <c r="K173" s="17" t="str">
        <f>IFERROR(IF(I173="","",VLOOKUP(I173,Normtijden_Config!$A$4:$S$55,8,FALSE())),"")</f>
        <v/>
      </c>
      <c r="L173" s="18" t="str">
        <f>IF(I173="","",IFERROR(  IF(VLOOKUP(I173,Normtijden_Config!$A$4:$S$55,9,FALSE())&lt;&gt;"",     VLOOKUP(I173,Normtijden_Config!$A$4:$S$55,9,FALSE()),     IFERROR(-INDEX(tbl_Offsets_Wd,MATCH(K173&amp;"|"&amp;D173&amp;"|"&amp;E173,tbl_Offsets_Key,0)),"")),""))</f>
        <v/>
      </c>
      <c r="M173" s="17" t="str">
        <f>IFERROR(IF(I173="","",VLOOKUP(I173,Normtijden_Config!$A$4:$S$55,10,FALSE())),"")</f>
        <v/>
      </c>
      <c r="N173" s="17" t="str">
        <f>IFERROR(IF(I173="","",VLOOKUP(I173,Normtijden_Config!$A$4:$S$55,11,FALSE())),"")</f>
        <v/>
      </c>
      <c r="O173" s="15"/>
      <c r="P173" s="15"/>
      <c r="Q173" s="39"/>
      <c r="R173" s="39"/>
      <c r="S173" s="38" t="str">
        <f t="shared" si="80"/>
        <v/>
      </c>
      <c r="T173" s="38" t="str">
        <f t="shared" si="81"/>
        <v/>
      </c>
      <c r="U173" s="38" t="str">
        <f t="shared" ca="1" si="82"/>
        <v/>
      </c>
      <c r="V173" s="38">
        <f t="shared" ca="1" si="83"/>
        <v>0</v>
      </c>
      <c r="W173" s="18" t="str">
        <f t="shared" ca="1" si="84"/>
        <v>n.v.t.</v>
      </c>
      <c r="X173" s="17" t="str">
        <f t="shared" ca="1" si="85"/>
        <v>ONBEKEND</v>
      </c>
      <c r="Y173" s="17" t="b">
        <f t="shared" ca="1" si="86"/>
        <v>0</v>
      </c>
      <c r="Z173" s="17" t="b">
        <f t="shared" si="87"/>
        <v>0</v>
      </c>
      <c r="AA173" s="17" t="b">
        <f t="shared" ca="1" si="88"/>
        <v>0</v>
      </c>
      <c r="AB173" s="20" t="str">
        <f t="shared" ca="1" si="89"/>
        <v/>
      </c>
      <c r="AC173" s="15"/>
      <c r="AD173" s="15"/>
      <c r="AE173" s="21"/>
      <c r="AF173" s="22"/>
    </row>
    <row r="174" spans="1:32" ht="15" customHeight="1" x14ac:dyDescent="0.3">
      <c r="A174" s="15"/>
      <c r="B174" s="17" t="str">
        <f t="shared" si="75"/>
        <v/>
      </c>
      <c r="C174" s="38" t="str">
        <f t="shared" si="76"/>
        <v/>
      </c>
      <c r="D174" s="17" t="str">
        <f t="shared" si="77"/>
        <v/>
      </c>
      <c r="E174" s="17" t="str">
        <f t="shared" si="78"/>
        <v/>
      </c>
      <c r="F174" s="15"/>
      <c r="G174" s="15"/>
      <c r="H174" s="15"/>
      <c r="I174" s="17" t="str">
        <f t="shared" si="79"/>
        <v/>
      </c>
      <c r="J174" s="18" t="str">
        <f>IFERROR(IF(I174="","",VLOOKUP(I174,Normtijden_Config!$A$4:$S$55,7,FALSE())),"")</f>
        <v/>
      </c>
      <c r="K174" s="17" t="str">
        <f>IFERROR(IF(I174="","",VLOOKUP(I174,Normtijden_Config!$A$4:$S$55,8,FALSE())),"")</f>
        <v/>
      </c>
      <c r="L174" s="18" t="str">
        <f>IF(I174="","",IFERROR(  IF(VLOOKUP(I174,Normtijden_Config!$A$4:$S$55,9,FALSE())&lt;&gt;"",     VLOOKUP(I174,Normtijden_Config!$A$4:$S$55,9,FALSE()),     IFERROR(-INDEX(tbl_Offsets_Wd,MATCH(K174&amp;"|"&amp;D174&amp;"|"&amp;E174,tbl_Offsets_Key,0)),"")),""))</f>
        <v/>
      </c>
      <c r="M174" s="17" t="str">
        <f>IFERROR(IF(I174="","",VLOOKUP(I174,Normtijden_Config!$A$4:$S$55,10,FALSE())),"")</f>
        <v/>
      </c>
      <c r="N174" s="17" t="str">
        <f>IFERROR(IF(I174="","",VLOOKUP(I174,Normtijden_Config!$A$4:$S$55,11,FALSE())),"")</f>
        <v/>
      </c>
      <c r="O174" s="15"/>
      <c r="P174" s="15"/>
      <c r="Q174" s="39"/>
      <c r="R174" s="39"/>
      <c r="S174" s="38" t="str">
        <f t="shared" si="80"/>
        <v/>
      </c>
      <c r="T174" s="38" t="str">
        <f t="shared" si="81"/>
        <v/>
      </c>
      <c r="U174" s="38" t="str">
        <f t="shared" ca="1" si="82"/>
        <v/>
      </c>
      <c r="V174" s="38">
        <f t="shared" ca="1" si="83"/>
        <v>0</v>
      </c>
      <c r="W174" s="18" t="str">
        <f t="shared" ca="1" si="84"/>
        <v>n.v.t.</v>
      </c>
      <c r="X174" s="17" t="str">
        <f t="shared" ca="1" si="85"/>
        <v>ONBEKEND</v>
      </c>
      <c r="Y174" s="17" t="b">
        <f t="shared" ca="1" si="86"/>
        <v>0</v>
      </c>
      <c r="Z174" s="17" t="b">
        <f t="shared" si="87"/>
        <v>0</v>
      </c>
      <c r="AA174" s="17" t="b">
        <f t="shared" ca="1" si="88"/>
        <v>0</v>
      </c>
      <c r="AB174" s="20" t="str">
        <f t="shared" ca="1" si="89"/>
        <v/>
      </c>
      <c r="AC174" s="15"/>
      <c r="AD174" s="15"/>
      <c r="AE174" s="21"/>
      <c r="AF174" s="22"/>
    </row>
    <row r="175" spans="1:32" ht="15" customHeight="1" x14ac:dyDescent="0.3">
      <c r="A175" s="15"/>
      <c r="B175" s="17" t="str">
        <f t="shared" si="75"/>
        <v/>
      </c>
      <c r="C175" s="38" t="str">
        <f t="shared" si="76"/>
        <v/>
      </c>
      <c r="D175" s="17" t="str">
        <f t="shared" si="77"/>
        <v/>
      </c>
      <c r="E175" s="17" t="str">
        <f t="shared" si="78"/>
        <v/>
      </c>
      <c r="F175" s="15"/>
      <c r="G175" s="15"/>
      <c r="H175" s="15"/>
      <c r="I175" s="17" t="str">
        <f t="shared" si="79"/>
        <v/>
      </c>
      <c r="J175" s="18" t="str">
        <f>IFERROR(IF(I175="","",VLOOKUP(I175,Normtijden_Config!$A$4:$S$55,7,FALSE())),"")</f>
        <v/>
      </c>
      <c r="K175" s="17" t="str">
        <f>IFERROR(IF(I175="","",VLOOKUP(I175,Normtijden_Config!$A$4:$S$55,8,FALSE())),"")</f>
        <v/>
      </c>
      <c r="L175" s="18" t="str">
        <f>IF(I175="","",IFERROR(  IF(VLOOKUP(I175,Normtijden_Config!$A$4:$S$55,9,FALSE())&lt;&gt;"",     VLOOKUP(I175,Normtijden_Config!$A$4:$S$55,9,FALSE()),     IFERROR(-INDEX(tbl_Offsets_Wd,MATCH(K175&amp;"|"&amp;D175&amp;"|"&amp;E175,tbl_Offsets_Key,0)),"")),""))</f>
        <v/>
      </c>
      <c r="M175" s="17" t="str">
        <f>IFERROR(IF(I175="","",VLOOKUP(I175,Normtijden_Config!$A$4:$S$55,10,FALSE())),"")</f>
        <v/>
      </c>
      <c r="N175" s="17" t="str">
        <f>IFERROR(IF(I175="","",VLOOKUP(I175,Normtijden_Config!$A$4:$S$55,11,FALSE())),"")</f>
        <v/>
      </c>
      <c r="O175" s="15"/>
      <c r="P175" s="15"/>
      <c r="Q175" s="39"/>
      <c r="R175" s="39"/>
      <c r="S175" s="38" t="str">
        <f t="shared" si="80"/>
        <v/>
      </c>
      <c r="T175" s="38" t="str">
        <f t="shared" si="81"/>
        <v/>
      </c>
      <c r="U175" s="38" t="str">
        <f t="shared" ca="1" si="82"/>
        <v/>
      </c>
      <c r="V175" s="38">
        <f t="shared" ca="1" si="83"/>
        <v>0</v>
      </c>
      <c r="W175" s="18" t="str">
        <f t="shared" ca="1" si="84"/>
        <v>n.v.t.</v>
      </c>
      <c r="X175" s="17" t="str">
        <f t="shared" ca="1" si="85"/>
        <v>ONBEKEND</v>
      </c>
      <c r="Y175" s="17" t="b">
        <f t="shared" ca="1" si="86"/>
        <v>0</v>
      </c>
      <c r="Z175" s="17" t="b">
        <f t="shared" si="87"/>
        <v>0</v>
      </c>
      <c r="AA175" s="17" t="b">
        <f t="shared" ca="1" si="88"/>
        <v>0</v>
      </c>
      <c r="AB175" s="20" t="str">
        <f t="shared" ca="1" si="89"/>
        <v/>
      </c>
      <c r="AC175" s="15"/>
      <c r="AD175" s="15"/>
      <c r="AE175" s="21"/>
      <c r="AF175" s="22"/>
    </row>
    <row r="176" spans="1:32" ht="15" customHeight="1" x14ac:dyDescent="0.3">
      <c r="A176" s="15"/>
      <c r="B176" s="17" t="str">
        <f t="shared" si="75"/>
        <v/>
      </c>
      <c r="C176" s="38" t="str">
        <f t="shared" si="76"/>
        <v/>
      </c>
      <c r="D176" s="17" t="str">
        <f t="shared" si="77"/>
        <v/>
      </c>
      <c r="E176" s="17" t="str">
        <f t="shared" si="78"/>
        <v/>
      </c>
      <c r="F176" s="15"/>
      <c r="G176" s="15"/>
      <c r="H176" s="15"/>
      <c r="I176" s="17" t="str">
        <f t="shared" si="79"/>
        <v/>
      </c>
      <c r="J176" s="18" t="str">
        <f>IFERROR(IF(I176="","",VLOOKUP(I176,Normtijden_Config!$A$4:$S$55,7,FALSE())),"")</f>
        <v/>
      </c>
      <c r="K176" s="17" t="str">
        <f>IFERROR(IF(I176="","",VLOOKUP(I176,Normtijden_Config!$A$4:$S$55,8,FALSE())),"")</f>
        <v/>
      </c>
      <c r="L176" s="18" t="str">
        <f>IF(I176="","",IFERROR(  IF(VLOOKUP(I176,Normtijden_Config!$A$4:$S$55,9,FALSE())&lt;&gt;"",     VLOOKUP(I176,Normtijden_Config!$A$4:$S$55,9,FALSE()),     IFERROR(-INDEX(tbl_Offsets_Wd,MATCH(K176&amp;"|"&amp;D176&amp;"|"&amp;E176,tbl_Offsets_Key,0)),"")),""))</f>
        <v/>
      </c>
      <c r="M176" s="17" t="str">
        <f>IFERROR(IF(I176="","",VLOOKUP(I176,Normtijden_Config!$A$4:$S$55,10,FALSE())),"")</f>
        <v/>
      </c>
      <c r="N176" s="17" t="str">
        <f>IFERROR(IF(I176="","",VLOOKUP(I176,Normtijden_Config!$A$4:$S$55,11,FALSE())),"")</f>
        <v/>
      </c>
      <c r="O176" s="15"/>
      <c r="P176" s="15"/>
      <c r="Q176" s="39"/>
      <c r="R176" s="39"/>
      <c r="S176" s="38" t="str">
        <f t="shared" si="80"/>
        <v/>
      </c>
      <c r="T176" s="38" t="str">
        <f t="shared" si="81"/>
        <v/>
      </c>
      <c r="U176" s="38" t="str">
        <f t="shared" ca="1" si="82"/>
        <v/>
      </c>
      <c r="V176" s="38">
        <f t="shared" ca="1" si="83"/>
        <v>0</v>
      </c>
      <c r="W176" s="18" t="str">
        <f t="shared" ca="1" si="84"/>
        <v>n.v.t.</v>
      </c>
      <c r="X176" s="17" t="str">
        <f t="shared" ca="1" si="85"/>
        <v>ONBEKEND</v>
      </c>
      <c r="Y176" s="17" t="b">
        <f t="shared" ca="1" si="86"/>
        <v>0</v>
      </c>
      <c r="Z176" s="17" t="b">
        <f t="shared" si="87"/>
        <v>0</v>
      </c>
      <c r="AA176" s="17" t="b">
        <f t="shared" ca="1" si="88"/>
        <v>0</v>
      </c>
      <c r="AB176" s="20" t="str">
        <f t="shared" ca="1" si="89"/>
        <v/>
      </c>
      <c r="AC176" s="15"/>
      <c r="AD176" s="15"/>
      <c r="AE176" s="21"/>
      <c r="AF176" s="22"/>
    </row>
    <row r="177" spans="1:32" ht="15" customHeight="1" x14ac:dyDescent="0.3">
      <c r="A177" s="15"/>
      <c r="B177" s="17" t="str">
        <f t="shared" si="75"/>
        <v/>
      </c>
      <c r="C177" s="38" t="str">
        <f t="shared" si="76"/>
        <v/>
      </c>
      <c r="D177" s="17" t="str">
        <f t="shared" si="77"/>
        <v/>
      </c>
      <c r="E177" s="17" t="str">
        <f t="shared" si="78"/>
        <v/>
      </c>
      <c r="F177" s="15"/>
      <c r="G177" s="15"/>
      <c r="H177" s="15"/>
      <c r="I177" s="17" t="str">
        <f t="shared" si="79"/>
        <v/>
      </c>
      <c r="J177" s="18" t="str">
        <f>IFERROR(IF(I177="","",VLOOKUP(I177,Normtijden_Config!$A$4:$S$55,7,FALSE())),"")</f>
        <v/>
      </c>
      <c r="K177" s="17" t="str">
        <f>IFERROR(IF(I177="","",VLOOKUP(I177,Normtijden_Config!$A$4:$S$55,8,FALSE())),"")</f>
        <v/>
      </c>
      <c r="L177" s="18" t="str">
        <f>IF(I177="","",IFERROR(  IF(VLOOKUP(I177,Normtijden_Config!$A$4:$S$55,9,FALSE())&lt;&gt;"",     VLOOKUP(I177,Normtijden_Config!$A$4:$S$55,9,FALSE()),     IFERROR(-INDEX(tbl_Offsets_Wd,MATCH(K177&amp;"|"&amp;D177&amp;"|"&amp;E177,tbl_Offsets_Key,0)),"")),""))</f>
        <v/>
      </c>
      <c r="M177" s="17" t="str">
        <f>IFERROR(IF(I177="","",VLOOKUP(I177,Normtijden_Config!$A$4:$S$55,10,FALSE())),"")</f>
        <v/>
      </c>
      <c r="N177" s="17" t="str">
        <f>IFERROR(IF(I177="","",VLOOKUP(I177,Normtijden_Config!$A$4:$S$55,11,FALSE())),"")</f>
        <v/>
      </c>
      <c r="O177" s="15"/>
      <c r="P177" s="15"/>
      <c r="Q177" s="39"/>
      <c r="R177" s="39"/>
      <c r="S177" s="38" t="str">
        <f t="shared" si="80"/>
        <v/>
      </c>
      <c r="T177" s="38" t="str">
        <f t="shared" si="81"/>
        <v/>
      </c>
      <c r="U177" s="38" t="str">
        <f t="shared" ca="1" si="82"/>
        <v/>
      </c>
      <c r="V177" s="38">
        <f t="shared" ca="1" si="83"/>
        <v>0</v>
      </c>
      <c r="W177" s="18" t="str">
        <f t="shared" ca="1" si="84"/>
        <v>n.v.t.</v>
      </c>
      <c r="X177" s="17" t="str">
        <f t="shared" ca="1" si="85"/>
        <v>ONBEKEND</v>
      </c>
      <c r="Y177" s="17" t="b">
        <f t="shared" ca="1" si="86"/>
        <v>0</v>
      </c>
      <c r="Z177" s="17" t="b">
        <f t="shared" si="87"/>
        <v>0</v>
      </c>
      <c r="AA177" s="17" t="b">
        <f t="shared" ca="1" si="88"/>
        <v>0</v>
      </c>
      <c r="AB177" s="20" t="str">
        <f t="shared" ca="1" si="89"/>
        <v/>
      </c>
      <c r="AC177" s="15"/>
      <c r="AD177" s="15"/>
      <c r="AE177" s="21"/>
      <c r="AF177" s="22"/>
    </row>
    <row r="178" spans="1:32" ht="15" customHeight="1" x14ac:dyDescent="0.3">
      <c r="A178" s="15"/>
      <c r="B178" s="17" t="str">
        <f t="shared" si="75"/>
        <v/>
      </c>
      <c r="C178" s="38" t="str">
        <f t="shared" si="76"/>
        <v/>
      </c>
      <c r="D178" s="17" t="str">
        <f t="shared" si="77"/>
        <v/>
      </c>
      <c r="E178" s="17" t="str">
        <f t="shared" si="78"/>
        <v/>
      </c>
      <c r="F178" s="15"/>
      <c r="G178" s="15"/>
      <c r="H178" s="15"/>
      <c r="I178" s="17" t="str">
        <f t="shared" si="79"/>
        <v/>
      </c>
      <c r="J178" s="18" t="str">
        <f>IFERROR(IF(I178="","",VLOOKUP(I178,Normtijden_Config!$A$4:$S$55,7,FALSE())),"")</f>
        <v/>
      </c>
      <c r="K178" s="17" t="str">
        <f>IFERROR(IF(I178="","",VLOOKUP(I178,Normtijden_Config!$A$4:$S$55,8,FALSE())),"")</f>
        <v/>
      </c>
      <c r="L178" s="18" t="str">
        <f>IF(I178="","",IFERROR(  IF(VLOOKUP(I178,Normtijden_Config!$A$4:$S$55,9,FALSE())&lt;&gt;"",     VLOOKUP(I178,Normtijden_Config!$A$4:$S$55,9,FALSE()),     IFERROR(-INDEX(tbl_Offsets_Wd,MATCH(K178&amp;"|"&amp;D178&amp;"|"&amp;E178,tbl_Offsets_Key,0)),"")),""))</f>
        <v/>
      </c>
      <c r="M178" s="17" t="str">
        <f>IFERROR(IF(I178="","",VLOOKUP(I178,Normtijden_Config!$A$4:$S$55,10,FALSE())),"")</f>
        <v/>
      </c>
      <c r="N178" s="17" t="str">
        <f>IFERROR(IF(I178="","",VLOOKUP(I178,Normtijden_Config!$A$4:$S$55,11,FALSE())),"")</f>
        <v/>
      </c>
      <c r="O178" s="15"/>
      <c r="P178" s="15"/>
      <c r="Q178" s="39"/>
      <c r="R178" s="39"/>
      <c r="S178" s="38" t="str">
        <f t="shared" si="80"/>
        <v/>
      </c>
      <c r="T178" s="38" t="str">
        <f t="shared" si="81"/>
        <v/>
      </c>
      <c r="U178" s="38" t="str">
        <f t="shared" ca="1" si="82"/>
        <v/>
      </c>
      <c r="V178" s="38">
        <f t="shared" ca="1" si="83"/>
        <v>0</v>
      </c>
      <c r="W178" s="18" t="str">
        <f t="shared" ca="1" si="84"/>
        <v>n.v.t.</v>
      </c>
      <c r="X178" s="17" t="str">
        <f t="shared" ca="1" si="85"/>
        <v>ONBEKEND</v>
      </c>
      <c r="Y178" s="17" t="b">
        <f t="shared" ca="1" si="86"/>
        <v>0</v>
      </c>
      <c r="Z178" s="17" t="b">
        <f t="shared" si="87"/>
        <v>0</v>
      </c>
      <c r="AA178" s="17" t="b">
        <f t="shared" ca="1" si="88"/>
        <v>0</v>
      </c>
      <c r="AB178" s="20" t="str">
        <f t="shared" ca="1" si="89"/>
        <v/>
      </c>
      <c r="AC178" s="15"/>
      <c r="AD178" s="15"/>
      <c r="AE178" s="21"/>
      <c r="AF178" s="22"/>
    </row>
    <row r="179" spans="1:32" ht="15" customHeight="1" x14ac:dyDescent="0.3">
      <c r="A179" s="15"/>
      <c r="B179" s="17" t="str">
        <f t="shared" si="75"/>
        <v/>
      </c>
      <c r="C179" s="38" t="str">
        <f t="shared" si="76"/>
        <v/>
      </c>
      <c r="D179" s="17" t="str">
        <f t="shared" si="77"/>
        <v/>
      </c>
      <c r="E179" s="17" t="str">
        <f t="shared" si="78"/>
        <v/>
      </c>
      <c r="F179" s="15"/>
      <c r="G179" s="15"/>
      <c r="H179" s="15"/>
      <c r="I179" s="17" t="str">
        <f t="shared" si="79"/>
        <v/>
      </c>
      <c r="J179" s="18" t="str">
        <f>IFERROR(IF(I179="","",VLOOKUP(I179,Normtijden_Config!$A$4:$S$55,7,FALSE())),"")</f>
        <v/>
      </c>
      <c r="K179" s="17" t="str">
        <f>IFERROR(IF(I179="","",VLOOKUP(I179,Normtijden_Config!$A$4:$S$55,8,FALSE())),"")</f>
        <v/>
      </c>
      <c r="L179" s="18" t="str">
        <f>IF(I179="","",IFERROR(  IF(VLOOKUP(I179,Normtijden_Config!$A$4:$S$55,9,FALSE())&lt;&gt;"",     VLOOKUP(I179,Normtijden_Config!$A$4:$S$55,9,FALSE()),     IFERROR(-INDEX(tbl_Offsets_Wd,MATCH(K179&amp;"|"&amp;D179&amp;"|"&amp;E179,tbl_Offsets_Key,0)),"")),""))</f>
        <v/>
      </c>
      <c r="M179" s="17" t="str">
        <f>IFERROR(IF(I179="","",VLOOKUP(I179,Normtijden_Config!$A$4:$S$55,10,FALSE())),"")</f>
        <v/>
      </c>
      <c r="N179" s="17" t="str">
        <f>IFERROR(IF(I179="","",VLOOKUP(I179,Normtijden_Config!$A$4:$S$55,11,FALSE())),"")</f>
        <v/>
      </c>
      <c r="O179" s="15"/>
      <c r="P179" s="15"/>
      <c r="Q179" s="39"/>
      <c r="R179" s="39"/>
      <c r="S179" s="38" t="str">
        <f t="shared" si="80"/>
        <v/>
      </c>
      <c r="T179" s="38" t="str">
        <f t="shared" si="81"/>
        <v/>
      </c>
      <c r="U179" s="38" t="str">
        <f t="shared" ca="1" si="82"/>
        <v/>
      </c>
      <c r="V179" s="38">
        <f t="shared" ca="1" si="83"/>
        <v>0</v>
      </c>
      <c r="W179" s="18" t="str">
        <f t="shared" ca="1" si="84"/>
        <v>n.v.t.</v>
      </c>
      <c r="X179" s="17" t="str">
        <f t="shared" ca="1" si="85"/>
        <v>ONBEKEND</v>
      </c>
      <c r="Y179" s="17" t="b">
        <f t="shared" ca="1" si="86"/>
        <v>0</v>
      </c>
      <c r="Z179" s="17" t="b">
        <f t="shared" si="87"/>
        <v>0</v>
      </c>
      <c r="AA179" s="17" t="b">
        <f t="shared" ca="1" si="88"/>
        <v>0</v>
      </c>
      <c r="AB179" s="20" t="str">
        <f t="shared" ca="1" si="89"/>
        <v/>
      </c>
      <c r="AC179" s="15"/>
      <c r="AD179" s="15"/>
      <c r="AE179" s="21"/>
      <c r="AF179" s="22"/>
    </row>
    <row r="180" spans="1:32" ht="15" customHeight="1" x14ac:dyDescent="0.3">
      <c r="A180" s="15"/>
      <c r="B180" s="17" t="str">
        <f t="shared" si="75"/>
        <v/>
      </c>
      <c r="C180" s="38" t="str">
        <f t="shared" si="76"/>
        <v/>
      </c>
      <c r="D180" s="17" t="str">
        <f t="shared" si="77"/>
        <v/>
      </c>
      <c r="E180" s="17" t="str">
        <f t="shared" si="78"/>
        <v/>
      </c>
      <c r="F180" s="15"/>
      <c r="G180" s="15"/>
      <c r="H180" s="15"/>
      <c r="I180" s="17" t="str">
        <f t="shared" si="79"/>
        <v/>
      </c>
      <c r="J180" s="18" t="str">
        <f>IFERROR(IF(I180="","",VLOOKUP(I180,Normtijden_Config!$A$4:$S$55,7,FALSE())),"")</f>
        <v/>
      </c>
      <c r="K180" s="17" t="str">
        <f>IFERROR(IF(I180="","",VLOOKUP(I180,Normtijden_Config!$A$4:$S$55,8,FALSE())),"")</f>
        <v/>
      </c>
      <c r="L180" s="18" t="str">
        <f>IF(I180="","",IFERROR(  IF(VLOOKUP(I180,Normtijden_Config!$A$4:$S$55,9,FALSE())&lt;&gt;"",     VLOOKUP(I180,Normtijden_Config!$A$4:$S$55,9,FALSE()),     IFERROR(-INDEX(tbl_Offsets_Wd,MATCH(K180&amp;"|"&amp;D180&amp;"|"&amp;E180,tbl_Offsets_Key,0)),"")),""))</f>
        <v/>
      </c>
      <c r="M180" s="17" t="str">
        <f>IFERROR(IF(I180="","",VLOOKUP(I180,Normtijden_Config!$A$4:$S$55,10,FALSE())),"")</f>
        <v/>
      </c>
      <c r="N180" s="17" t="str">
        <f>IFERROR(IF(I180="","",VLOOKUP(I180,Normtijden_Config!$A$4:$S$55,11,FALSE())),"")</f>
        <v/>
      </c>
      <c r="O180" s="15"/>
      <c r="P180" s="15"/>
      <c r="Q180" s="39"/>
      <c r="R180" s="39"/>
      <c r="S180" s="38" t="str">
        <f t="shared" si="80"/>
        <v/>
      </c>
      <c r="T180" s="38" t="str">
        <f t="shared" si="81"/>
        <v/>
      </c>
      <c r="U180" s="38" t="str">
        <f t="shared" ca="1" si="82"/>
        <v/>
      </c>
      <c r="V180" s="38">
        <f t="shared" ca="1" si="83"/>
        <v>0</v>
      </c>
      <c r="W180" s="18" t="str">
        <f t="shared" ca="1" si="84"/>
        <v>n.v.t.</v>
      </c>
      <c r="X180" s="17" t="str">
        <f t="shared" ca="1" si="85"/>
        <v>ONBEKEND</v>
      </c>
      <c r="Y180" s="17" t="b">
        <f t="shared" ca="1" si="86"/>
        <v>0</v>
      </c>
      <c r="Z180" s="17" t="b">
        <f t="shared" si="87"/>
        <v>0</v>
      </c>
      <c r="AA180" s="17" t="b">
        <f t="shared" ca="1" si="88"/>
        <v>0</v>
      </c>
      <c r="AB180" s="20" t="str">
        <f t="shared" ca="1" si="89"/>
        <v/>
      </c>
      <c r="AC180" s="15"/>
      <c r="AD180" s="15"/>
      <c r="AE180" s="21"/>
      <c r="AF180" s="22"/>
    </row>
    <row r="181" spans="1:32" ht="15" customHeight="1" x14ac:dyDescent="0.3">
      <c r="A181" s="15"/>
      <c r="B181" s="17" t="str">
        <f t="shared" si="75"/>
        <v/>
      </c>
      <c r="C181" s="38" t="str">
        <f t="shared" si="76"/>
        <v/>
      </c>
      <c r="D181" s="17" t="str">
        <f t="shared" si="77"/>
        <v/>
      </c>
      <c r="E181" s="17" t="str">
        <f t="shared" si="78"/>
        <v/>
      </c>
      <c r="F181" s="15"/>
      <c r="G181" s="15"/>
      <c r="H181" s="15"/>
      <c r="I181" s="17" t="str">
        <f t="shared" si="79"/>
        <v/>
      </c>
      <c r="J181" s="18" t="str">
        <f>IFERROR(IF(I181="","",VLOOKUP(I181,Normtijden_Config!$A$4:$S$55,7,FALSE())),"")</f>
        <v/>
      </c>
      <c r="K181" s="17" t="str">
        <f>IFERROR(IF(I181="","",VLOOKUP(I181,Normtijden_Config!$A$4:$S$55,8,FALSE())),"")</f>
        <v/>
      </c>
      <c r="L181" s="18" t="str">
        <f>IF(I181="","",IFERROR(  IF(VLOOKUP(I181,Normtijden_Config!$A$4:$S$55,9,FALSE())&lt;&gt;"",     VLOOKUP(I181,Normtijden_Config!$A$4:$S$55,9,FALSE()),     IFERROR(-INDEX(tbl_Offsets_Wd,MATCH(K181&amp;"|"&amp;D181&amp;"|"&amp;E181,tbl_Offsets_Key,0)),"")),""))</f>
        <v/>
      </c>
      <c r="M181" s="17" t="str">
        <f>IFERROR(IF(I181="","",VLOOKUP(I181,Normtijden_Config!$A$4:$S$55,10,FALSE())),"")</f>
        <v/>
      </c>
      <c r="N181" s="17" t="str">
        <f>IFERROR(IF(I181="","",VLOOKUP(I181,Normtijden_Config!$A$4:$S$55,11,FALSE())),"")</f>
        <v/>
      </c>
      <c r="O181" s="15"/>
      <c r="P181" s="15"/>
      <c r="Q181" s="39"/>
      <c r="R181" s="39"/>
      <c r="S181" s="38" t="str">
        <f t="shared" si="80"/>
        <v/>
      </c>
      <c r="T181" s="38" t="str">
        <f t="shared" si="81"/>
        <v/>
      </c>
      <c r="U181" s="38" t="str">
        <f t="shared" ca="1" si="82"/>
        <v/>
      </c>
      <c r="V181" s="38">
        <f t="shared" ca="1" si="83"/>
        <v>0</v>
      </c>
      <c r="W181" s="18" t="str">
        <f t="shared" ca="1" si="84"/>
        <v>n.v.t.</v>
      </c>
      <c r="X181" s="17" t="str">
        <f t="shared" ca="1" si="85"/>
        <v>ONBEKEND</v>
      </c>
      <c r="Y181" s="17" t="b">
        <f t="shared" ca="1" si="86"/>
        <v>0</v>
      </c>
      <c r="Z181" s="17" t="b">
        <f t="shared" si="87"/>
        <v>0</v>
      </c>
      <c r="AA181" s="17" t="b">
        <f t="shared" ca="1" si="88"/>
        <v>0</v>
      </c>
      <c r="AB181" s="20" t="str">
        <f t="shared" ca="1" si="89"/>
        <v/>
      </c>
      <c r="AC181" s="15"/>
      <c r="AD181" s="15"/>
      <c r="AE181" s="21"/>
      <c r="AF181" s="22"/>
    </row>
    <row r="182" spans="1:32" ht="15" customHeight="1" x14ac:dyDescent="0.3">
      <c r="A182" s="15"/>
      <c r="B182" s="17" t="str">
        <f t="shared" si="75"/>
        <v/>
      </c>
      <c r="C182" s="38" t="str">
        <f t="shared" si="76"/>
        <v/>
      </c>
      <c r="D182" s="17" t="str">
        <f t="shared" si="77"/>
        <v/>
      </c>
      <c r="E182" s="17" t="str">
        <f t="shared" si="78"/>
        <v/>
      </c>
      <c r="F182" s="15"/>
      <c r="G182" s="15"/>
      <c r="H182" s="15"/>
      <c r="I182" s="17" t="str">
        <f t="shared" si="79"/>
        <v/>
      </c>
      <c r="J182" s="18" t="str">
        <f>IFERROR(IF(I182="","",VLOOKUP(I182,Normtijden_Config!$A$4:$S$55,7,FALSE())),"")</f>
        <v/>
      </c>
      <c r="K182" s="17" t="str">
        <f>IFERROR(IF(I182="","",VLOOKUP(I182,Normtijden_Config!$A$4:$S$55,8,FALSE())),"")</f>
        <v/>
      </c>
      <c r="L182" s="18" t="str">
        <f>IF(I182="","",IFERROR(  IF(VLOOKUP(I182,Normtijden_Config!$A$4:$S$55,9,FALSE())&lt;&gt;"",     VLOOKUP(I182,Normtijden_Config!$A$4:$S$55,9,FALSE()),     IFERROR(-INDEX(tbl_Offsets_Wd,MATCH(K182&amp;"|"&amp;D182&amp;"|"&amp;E182,tbl_Offsets_Key,0)),"")),""))</f>
        <v/>
      </c>
      <c r="M182" s="17" t="str">
        <f>IFERROR(IF(I182="","",VLOOKUP(I182,Normtijden_Config!$A$4:$S$55,10,FALSE())),"")</f>
        <v/>
      </c>
      <c r="N182" s="17" t="str">
        <f>IFERROR(IF(I182="","",VLOOKUP(I182,Normtijden_Config!$A$4:$S$55,11,FALSE())),"")</f>
        <v/>
      </c>
      <c r="O182" s="15"/>
      <c r="P182" s="15"/>
      <c r="Q182" s="39"/>
      <c r="R182" s="39"/>
      <c r="S182" s="38" t="str">
        <f t="shared" si="80"/>
        <v/>
      </c>
      <c r="T182" s="38" t="str">
        <f t="shared" si="81"/>
        <v/>
      </c>
      <c r="U182" s="38" t="str">
        <f t="shared" ca="1" si="82"/>
        <v/>
      </c>
      <c r="V182" s="38">
        <f t="shared" ca="1" si="83"/>
        <v>0</v>
      </c>
      <c r="W182" s="18" t="str">
        <f t="shared" ca="1" si="84"/>
        <v>n.v.t.</v>
      </c>
      <c r="X182" s="17" t="str">
        <f t="shared" ca="1" si="85"/>
        <v>ONBEKEND</v>
      </c>
      <c r="Y182" s="17" t="b">
        <f t="shared" ca="1" si="86"/>
        <v>0</v>
      </c>
      <c r="Z182" s="17" t="b">
        <f t="shared" si="87"/>
        <v>0</v>
      </c>
      <c r="AA182" s="17" t="b">
        <f t="shared" ca="1" si="88"/>
        <v>0</v>
      </c>
      <c r="AB182" s="20" t="str">
        <f t="shared" ca="1" si="89"/>
        <v/>
      </c>
      <c r="AC182" s="15"/>
      <c r="AD182" s="15"/>
      <c r="AE182" s="21"/>
      <c r="AF182" s="22"/>
    </row>
    <row r="183" spans="1:32" ht="15" customHeight="1" x14ac:dyDescent="0.3">
      <c r="A183" s="15"/>
      <c r="B183" s="17" t="str">
        <f t="shared" si="75"/>
        <v/>
      </c>
      <c r="C183" s="38" t="str">
        <f t="shared" si="76"/>
        <v/>
      </c>
      <c r="D183" s="17" t="str">
        <f t="shared" si="77"/>
        <v/>
      </c>
      <c r="E183" s="17" t="str">
        <f t="shared" si="78"/>
        <v/>
      </c>
      <c r="F183" s="15"/>
      <c r="G183" s="15"/>
      <c r="H183" s="15"/>
      <c r="I183" s="17" t="str">
        <f t="shared" si="79"/>
        <v/>
      </c>
      <c r="J183" s="18" t="str">
        <f>IFERROR(IF(I183="","",VLOOKUP(I183,Normtijden_Config!$A$4:$S$55,7,FALSE())),"")</f>
        <v/>
      </c>
      <c r="K183" s="17" t="str">
        <f>IFERROR(IF(I183="","",VLOOKUP(I183,Normtijden_Config!$A$4:$S$55,8,FALSE())),"")</f>
        <v/>
      </c>
      <c r="L183" s="18" t="str">
        <f>IF(I183="","",IFERROR(  IF(VLOOKUP(I183,Normtijden_Config!$A$4:$S$55,9,FALSE())&lt;&gt;"",     VLOOKUP(I183,Normtijden_Config!$A$4:$S$55,9,FALSE()),     IFERROR(-INDEX(tbl_Offsets_Wd,MATCH(K183&amp;"|"&amp;D183&amp;"|"&amp;E183,tbl_Offsets_Key,0)),"")),""))</f>
        <v/>
      </c>
      <c r="M183" s="17" t="str">
        <f>IFERROR(IF(I183="","",VLOOKUP(I183,Normtijden_Config!$A$4:$S$55,10,FALSE())),"")</f>
        <v/>
      </c>
      <c r="N183" s="17" t="str">
        <f>IFERROR(IF(I183="","",VLOOKUP(I183,Normtijden_Config!$A$4:$S$55,11,FALSE())),"")</f>
        <v/>
      </c>
      <c r="O183" s="15"/>
      <c r="P183" s="15"/>
      <c r="Q183" s="39"/>
      <c r="R183" s="39"/>
      <c r="S183" s="38" t="str">
        <f t="shared" si="80"/>
        <v/>
      </c>
      <c r="T183" s="38" t="str">
        <f t="shared" si="81"/>
        <v/>
      </c>
      <c r="U183" s="38" t="str">
        <f t="shared" ca="1" si="82"/>
        <v/>
      </c>
      <c r="V183" s="38">
        <f t="shared" ca="1" si="83"/>
        <v>0</v>
      </c>
      <c r="W183" s="18" t="str">
        <f t="shared" ca="1" si="84"/>
        <v>n.v.t.</v>
      </c>
      <c r="X183" s="17" t="str">
        <f t="shared" ca="1" si="85"/>
        <v>ONBEKEND</v>
      </c>
      <c r="Y183" s="17" t="b">
        <f t="shared" ca="1" si="86"/>
        <v>0</v>
      </c>
      <c r="Z183" s="17" t="b">
        <f t="shared" si="87"/>
        <v>0</v>
      </c>
      <c r="AA183" s="17" t="b">
        <f t="shared" ca="1" si="88"/>
        <v>0</v>
      </c>
      <c r="AB183" s="20" t="str">
        <f t="shared" ca="1" si="89"/>
        <v/>
      </c>
      <c r="AC183" s="15"/>
      <c r="AD183" s="15"/>
      <c r="AE183" s="21"/>
      <c r="AF183" s="22"/>
    </row>
    <row r="184" spans="1:32" ht="15" customHeight="1" x14ac:dyDescent="0.3">
      <c r="A184" s="15"/>
      <c r="B184" s="17" t="str">
        <f t="shared" si="75"/>
        <v/>
      </c>
      <c r="C184" s="38" t="str">
        <f t="shared" si="76"/>
        <v/>
      </c>
      <c r="D184" s="17" t="str">
        <f t="shared" si="77"/>
        <v/>
      </c>
      <c r="E184" s="17" t="str">
        <f t="shared" si="78"/>
        <v/>
      </c>
      <c r="F184" s="15"/>
      <c r="G184" s="15"/>
      <c r="H184" s="15"/>
      <c r="I184" s="17" t="str">
        <f t="shared" si="79"/>
        <v/>
      </c>
      <c r="J184" s="18" t="str">
        <f>IFERROR(IF(I184="","",VLOOKUP(I184,Normtijden_Config!$A$4:$S$55,7,FALSE())),"")</f>
        <v/>
      </c>
      <c r="K184" s="17" t="str">
        <f>IFERROR(IF(I184="","",VLOOKUP(I184,Normtijden_Config!$A$4:$S$55,8,FALSE())),"")</f>
        <v/>
      </c>
      <c r="L184" s="18" t="str">
        <f>IF(I184="","",IFERROR(  IF(VLOOKUP(I184,Normtijden_Config!$A$4:$S$55,9,FALSE())&lt;&gt;"",     VLOOKUP(I184,Normtijden_Config!$A$4:$S$55,9,FALSE()),     IFERROR(-INDEX(tbl_Offsets_Wd,MATCH(K184&amp;"|"&amp;D184&amp;"|"&amp;E184,tbl_Offsets_Key,0)),"")),""))</f>
        <v/>
      </c>
      <c r="M184" s="17" t="str">
        <f>IFERROR(IF(I184="","",VLOOKUP(I184,Normtijden_Config!$A$4:$S$55,10,FALSE())),"")</f>
        <v/>
      </c>
      <c r="N184" s="17" t="str">
        <f>IFERROR(IF(I184="","",VLOOKUP(I184,Normtijden_Config!$A$4:$S$55,11,FALSE())),"")</f>
        <v/>
      </c>
      <c r="O184" s="15"/>
      <c r="P184" s="15"/>
      <c r="Q184" s="39"/>
      <c r="R184" s="39"/>
      <c r="S184" s="38" t="str">
        <f t="shared" si="80"/>
        <v/>
      </c>
      <c r="T184" s="38" t="str">
        <f t="shared" si="81"/>
        <v/>
      </c>
      <c r="U184" s="38" t="str">
        <f t="shared" ca="1" si="82"/>
        <v/>
      </c>
      <c r="V184" s="38">
        <f t="shared" ca="1" si="83"/>
        <v>0</v>
      </c>
      <c r="W184" s="18" t="str">
        <f t="shared" ca="1" si="84"/>
        <v>n.v.t.</v>
      </c>
      <c r="X184" s="17" t="str">
        <f t="shared" ca="1" si="85"/>
        <v>ONBEKEND</v>
      </c>
      <c r="Y184" s="17" t="b">
        <f t="shared" ca="1" si="86"/>
        <v>0</v>
      </c>
      <c r="Z184" s="17" t="b">
        <f t="shared" si="87"/>
        <v>0</v>
      </c>
      <c r="AA184" s="17" t="b">
        <f t="shared" ca="1" si="88"/>
        <v>0</v>
      </c>
      <c r="AB184" s="20" t="str">
        <f t="shared" ca="1" si="89"/>
        <v/>
      </c>
      <c r="AC184" s="15"/>
      <c r="AD184" s="15"/>
      <c r="AE184" s="21"/>
      <c r="AF184" s="22"/>
    </row>
    <row r="185" spans="1:32" ht="15" customHeight="1" x14ac:dyDescent="0.3">
      <c r="A185" s="15"/>
      <c r="B185" s="17" t="str">
        <f t="shared" si="75"/>
        <v/>
      </c>
      <c r="C185" s="38" t="str">
        <f t="shared" si="76"/>
        <v/>
      </c>
      <c r="D185" s="17" t="str">
        <f t="shared" si="77"/>
        <v/>
      </c>
      <c r="E185" s="17" t="str">
        <f t="shared" si="78"/>
        <v/>
      </c>
      <c r="F185" s="15"/>
      <c r="G185" s="15"/>
      <c r="H185" s="15"/>
      <c r="I185" s="17" t="str">
        <f t="shared" si="79"/>
        <v/>
      </c>
      <c r="J185" s="18" t="str">
        <f>IFERROR(IF(I185="","",VLOOKUP(I185,Normtijden_Config!$A$4:$S$55,7,FALSE())),"")</f>
        <v/>
      </c>
      <c r="K185" s="17" t="str">
        <f>IFERROR(IF(I185="","",VLOOKUP(I185,Normtijden_Config!$A$4:$S$55,8,FALSE())),"")</f>
        <v/>
      </c>
      <c r="L185" s="18" t="str">
        <f>IF(I185="","",IFERROR(  IF(VLOOKUP(I185,Normtijden_Config!$A$4:$S$55,9,FALSE())&lt;&gt;"",     VLOOKUP(I185,Normtijden_Config!$A$4:$S$55,9,FALSE()),     IFERROR(-INDEX(tbl_Offsets_Wd,MATCH(K185&amp;"|"&amp;D185&amp;"|"&amp;E185,tbl_Offsets_Key,0)),"")),""))</f>
        <v/>
      </c>
      <c r="M185" s="17" t="str">
        <f>IFERROR(IF(I185="","",VLOOKUP(I185,Normtijden_Config!$A$4:$S$55,10,FALSE())),"")</f>
        <v/>
      </c>
      <c r="N185" s="17" t="str">
        <f>IFERROR(IF(I185="","",VLOOKUP(I185,Normtijden_Config!$A$4:$S$55,11,FALSE())),"")</f>
        <v/>
      </c>
      <c r="O185" s="15"/>
      <c r="P185" s="15"/>
      <c r="Q185" s="39"/>
      <c r="R185" s="39"/>
      <c r="S185" s="38" t="str">
        <f t="shared" si="80"/>
        <v/>
      </c>
      <c r="T185" s="38" t="str">
        <f t="shared" si="81"/>
        <v/>
      </c>
      <c r="U185" s="38" t="str">
        <f t="shared" ca="1" si="82"/>
        <v/>
      </c>
      <c r="V185" s="38">
        <f t="shared" ca="1" si="83"/>
        <v>0</v>
      </c>
      <c r="W185" s="18" t="str">
        <f t="shared" ca="1" si="84"/>
        <v>n.v.t.</v>
      </c>
      <c r="X185" s="17" t="str">
        <f t="shared" ca="1" si="85"/>
        <v>ONBEKEND</v>
      </c>
      <c r="Y185" s="17" t="b">
        <f t="shared" ca="1" si="86"/>
        <v>0</v>
      </c>
      <c r="Z185" s="17" t="b">
        <f t="shared" si="87"/>
        <v>0</v>
      </c>
      <c r="AA185" s="17" t="b">
        <f t="shared" ca="1" si="88"/>
        <v>0</v>
      </c>
      <c r="AB185" s="20" t="str">
        <f t="shared" ca="1" si="89"/>
        <v/>
      </c>
      <c r="AC185" s="15"/>
      <c r="AD185" s="15"/>
      <c r="AE185" s="21"/>
      <c r="AF185" s="22"/>
    </row>
    <row r="186" spans="1:32" ht="15" customHeight="1" x14ac:dyDescent="0.3">
      <c r="A186" s="15"/>
      <c r="B186" s="17" t="str">
        <f t="shared" si="75"/>
        <v/>
      </c>
      <c r="C186" s="38" t="str">
        <f t="shared" si="76"/>
        <v/>
      </c>
      <c r="D186" s="17" t="str">
        <f t="shared" si="77"/>
        <v/>
      </c>
      <c r="E186" s="17" t="str">
        <f t="shared" si="78"/>
        <v/>
      </c>
      <c r="F186" s="15"/>
      <c r="G186" s="15"/>
      <c r="H186" s="15"/>
      <c r="I186" s="17" t="str">
        <f t="shared" si="79"/>
        <v/>
      </c>
      <c r="J186" s="18" t="str">
        <f>IFERROR(IF(I186="","",VLOOKUP(I186,Normtijden_Config!$A$4:$S$55,7,FALSE())),"")</f>
        <v/>
      </c>
      <c r="K186" s="17" t="str">
        <f>IFERROR(IF(I186="","",VLOOKUP(I186,Normtijden_Config!$A$4:$S$55,8,FALSE())),"")</f>
        <v/>
      </c>
      <c r="L186" s="18" t="str">
        <f>IF(I186="","",IFERROR(  IF(VLOOKUP(I186,Normtijden_Config!$A$4:$S$55,9,FALSE())&lt;&gt;"",     VLOOKUP(I186,Normtijden_Config!$A$4:$S$55,9,FALSE()),     IFERROR(-INDEX(tbl_Offsets_Wd,MATCH(K186&amp;"|"&amp;D186&amp;"|"&amp;E186,tbl_Offsets_Key,0)),"")),""))</f>
        <v/>
      </c>
      <c r="M186" s="17" t="str">
        <f>IFERROR(IF(I186="","",VLOOKUP(I186,Normtijden_Config!$A$4:$S$55,10,FALSE())),"")</f>
        <v/>
      </c>
      <c r="N186" s="17" t="str">
        <f>IFERROR(IF(I186="","",VLOOKUP(I186,Normtijden_Config!$A$4:$S$55,11,FALSE())),"")</f>
        <v/>
      </c>
      <c r="O186" s="15"/>
      <c r="P186" s="15"/>
      <c r="Q186" s="39"/>
      <c r="R186" s="39"/>
      <c r="S186" s="38" t="str">
        <f t="shared" si="80"/>
        <v/>
      </c>
      <c r="T186" s="38" t="str">
        <f t="shared" si="81"/>
        <v/>
      </c>
      <c r="U186" s="38" t="str">
        <f t="shared" ca="1" si="82"/>
        <v/>
      </c>
      <c r="V186" s="38">
        <f t="shared" ca="1" si="83"/>
        <v>0</v>
      </c>
      <c r="W186" s="18" t="str">
        <f t="shared" ca="1" si="84"/>
        <v>n.v.t.</v>
      </c>
      <c r="X186" s="17" t="str">
        <f t="shared" ca="1" si="85"/>
        <v>ONBEKEND</v>
      </c>
      <c r="Y186" s="17" t="b">
        <f t="shared" ca="1" si="86"/>
        <v>0</v>
      </c>
      <c r="Z186" s="17" t="b">
        <f t="shared" si="87"/>
        <v>0</v>
      </c>
      <c r="AA186" s="17" t="b">
        <f t="shared" ca="1" si="88"/>
        <v>0</v>
      </c>
      <c r="AB186" s="20" t="str">
        <f t="shared" ca="1" si="89"/>
        <v/>
      </c>
      <c r="AC186" s="15"/>
      <c r="AD186" s="15"/>
      <c r="AE186" s="21"/>
      <c r="AF186" s="22"/>
    </row>
    <row r="187" spans="1:32" ht="15" customHeight="1" x14ac:dyDescent="0.3">
      <c r="A187" s="15"/>
      <c r="B187" s="17" t="str">
        <f t="shared" si="75"/>
        <v/>
      </c>
      <c r="C187" s="38" t="str">
        <f t="shared" si="76"/>
        <v/>
      </c>
      <c r="D187" s="17" t="str">
        <f t="shared" si="77"/>
        <v/>
      </c>
      <c r="E187" s="17" t="str">
        <f t="shared" si="78"/>
        <v/>
      </c>
      <c r="F187" s="15"/>
      <c r="G187" s="15"/>
      <c r="H187" s="15"/>
      <c r="I187" s="17" t="str">
        <f t="shared" si="79"/>
        <v/>
      </c>
      <c r="J187" s="18" t="str">
        <f>IFERROR(IF(I187="","",VLOOKUP(I187,Normtijden_Config!$A$4:$S$55,7,FALSE())),"")</f>
        <v/>
      </c>
      <c r="K187" s="17" t="str">
        <f>IFERROR(IF(I187="","",VLOOKUP(I187,Normtijden_Config!$A$4:$S$55,8,FALSE())),"")</f>
        <v/>
      </c>
      <c r="L187" s="18" t="str">
        <f>IF(I187="","",IFERROR(  IF(VLOOKUP(I187,Normtijden_Config!$A$4:$S$55,9,FALSE())&lt;&gt;"",     VLOOKUP(I187,Normtijden_Config!$A$4:$S$55,9,FALSE()),     IFERROR(-INDEX(tbl_Offsets_Wd,MATCH(K187&amp;"|"&amp;D187&amp;"|"&amp;E187,tbl_Offsets_Key,0)),"")),""))</f>
        <v/>
      </c>
      <c r="M187" s="17" t="str">
        <f>IFERROR(IF(I187="","",VLOOKUP(I187,Normtijden_Config!$A$4:$S$55,10,FALSE())),"")</f>
        <v/>
      </c>
      <c r="N187" s="17" t="str">
        <f>IFERROR(IF(I187="","",VLOOKUP(I187,Normtijden_Config!$A$4:$S$55,11,FALSE())),"")</f>
        <v/>
      </c>
      <c r="O187" s="15"/>
      <c r="P187" s="15"/>
      <c r="Q187" s="39"/>
      <c r="R187" s="39"/>
      <c r="S187" s="38" t="str">
        <f t="shared" si="80"/>
        <v/>
      </c>
      <c r="T187" s="38" t="str">
        <f t="shared" si="81"/>
        <v/>
      </c>
      <c r="U187" s="38" t="str">
        <f t="shared" ca="1" si="82"/>
        <v/>
      </c>
      <c r="V187" s="38">
        <f t="shared" ca="1" si="83"/>
        <v>0</v>
      </c>
      <c r="W187" s="18" t="str">
        <f t="shared" ca="1" si="84"/>
        <v>n.v.t.</v>
      </c>
      <c r="X187" s="17" t="str">
        <f t="shared" ca="1" si="85"/>
        <v>ONBEKEND</v>
      </c>
      <c r="Y187" s="17" t="b">
        <f t="shared" ca="1" si="86"/>
        <v>0</v>
      </c>
      <c r="Z187" s="17" t="b">
        <f t="shared" si="87"/>
        <v>0</v>
      </c>
      <c r="AA187" s="17" t="b">
        <f t="shared" ca="1" si="88"/>
        <v>0</v>
      </c>
      <c r="AB187" s="20" t="str">
        <f t="shared" ca="1" si="89"/>
        <v/>
      </c>
      <c r="AC187" s="15"/>
      <c r="AD187" s="15"/>
      <c r="AE187" s="21"/>
      <c r="AF187" s="22"/>
    </row>
    <row r="188" spans="1:32" ht="15" customHeight="1" x14ac:dyDescent="0.3">
      <c r="A188" s="15"/>
      <c r="B188" s="17" t="str">
        <f t="shared" si="75"/>
        <v/>
      </c>
      <c r="C188" s="38" t="str">
        <f t="shared" si="76"/>
        <v/>
      </c>
      <c r="D188" s="17" t="str">
        <f t="shared" si="77"/>
        <v/>
      </c>
      <c r="E188" s="17" t="str">
        <f t="shared" si="78"/>
        <v/>
      </c>
      <c r="F188" s="15"/>
      <c r="G188" s="15"/>
      <c r="H188" s="15"/>
      <c r="I188" s="17" t="str">
        <f t="shared" si="79"/>
        <v/>
      </c>
      <c r="J188" s="18" t="str">
        <f>IFERROR(IF(I188="","",VLOOKUP(I188,Normtijden_Config!$A$4:$S$55,7,FALSE())),"")</f>
        <v/>
      </c>
      <c r="K188" s="17" t="str">
        <f>IFERROR(IF(I188="","",VLOOKUP(I188,Normtijden_Config!$A$4:$S$55,8,FALSE())),"")</f>
        <v/>
      </c>
      <c r="L188" s="18" t="str">
        <f>IF(I188="","",IFERROR(  IF(VLOOKUP(I188,Normtijden_Config!$A$4:$S$55,9,FALSE())&lt;&gt;"",     VLOOKUP(I188,Normtijden_Config!$A$4:$S$55,9,FALSE()),     IFERROR(-INDEX(tbl_Offsets_Wd,MATCH(K188&amp;"|"&amp;D188&amp;"|"&amp;E188,tbl_Offsets_Key,0)),"")),""))</f>
        <v/>
      </c>
      <c r="M188" s="17" t="str">
        <f>IFERROR(IF(I188="","",VLOOKUP(I188,Normtijden_Config!$A$4:$S$55,10,FALSE())),"")</f>
        <v/>
      </c>
      <c r="N188" s="17" t="str">
        <f>IFERROR(IF(I188="","",VLOOKUP(I188,Normtijden_Config!$A$4:$S$55,11,FALSE())),"")</f>
        <v/>
      </c>
      <c r="O188" s="15"/>
      <c r="P188" s="15"/>
      <c r="Q188" s="39"/>
      <c r="R188" s="39"/>
      <c r="S188" s="38" t="str">
        <f t="shared" si="80"/>
        <v/>
      </c>
      <c r="T188" s="38" t="str">
        <f t="shared" si="81"/>
        <v/>
      </c>
      <c r="U188" s="38" t="str">
        <f t="shared" ca="1" si="82"/>
        <v/>
      </c>
      <c r="V188" s="38">
        <f t="shared" ca="1" si="83"/>
        <v>0</v>
      </c>
      <c r="W188" s="18" t="str">
        <f t="shared" ca="1" si="84"/>
        <v>n.v.t.</v>
      </c>
      <c r="X188" s="17" t="str">
        <f t="shared" ca="1" si="85"/>
        <v>ONBEKEND</v>
      </c>
      <c r="Y188" s="17" t="b">
        <f t="shared" ca="1" si="86"/>
        <v>0</v>
      </c>
      <c r="Z188" s="17" t="b">
        <f t="shared" si="87"/>
        <v>0</v>
      </c>
      <c r="AA188" s="17" t="b">
        <f t="shared" ca="1" si="88"/>
        <v>0</v>
      </c>
      <c r="AB188" s="20" t="str">
        <f t="shared" ca="1" si="89"/>
        <v/>
      </c>
      <c r="AC188" s="15"/>
      <c r="AD188" s="15"/>
      <c r="AE188" s="21"/>
      <c r="AF188" s="22"/>
    </row>
    <row r="189" spans="1:32" ht="15" customHeight="1" x14ac:dyDescent="0.3">
      <c r="A189" s="15"/>
      <c r="B189" s="17" t="str">
        <f t="shared" si="75"/>
        <v/>
      </c>
      <c r="C189" s="38" t="str">
        <f t="shared" si="76"/>
        <v/>
      </c>
      <c r="D189" s="17" t="str">
        <f t="shared" si="77"/>
        <v/>
      </c>
      <c r="E189" s="17" t="str">
        <f t="shared" si="78"/>
        <v/>
      </c>
      <c r="F189" s="15"/>
      <c r="G189" s="15"/>
      <c r="H189" s="15"/>
      <c r="I189" s="17" t="str">
        <f t="shared" si="79"/>
        <v/>
      </c>
      <c r="J189" s="18" t="str">
        <f>IFERROR(IF(I189="","",VLOOKUP(I189,Normtijden_Config!$A$4:$S$55,7,FALSE())),"")</f>
        <v/>
      </c>
      <c r="K189" s="17" t="str">
        <f>IFERROR(IF(I189="","",VLOOKUP(I189,Normtijden_Config!$A$4:$S$55,8,FALSE())),"")</f>
        <v/>
      </c>
      <c r="L189" s="18" t="str">
        <f>IF(I189="","",IFERROR(  IF(VLOOKUP(I189,Normtijden_Config!$A$4:$S$55,9,FALSE())&lt;&gt;"",     VLOOKUP(I189,Normtijden_Config!$A$4:$S$55,9,FALSE()),     IFERROR(-INDEX(tbl_Offsets_Wd,MATCH(K189&amp;"|"&amp;D189&amp;"|"&amp;E189,tbl_Offsets_Key,0)),"")),""))</f>
        <v/>
      </c>
      <c r="M189" s="17" t="str">
        <f>IFERROR(IF(I189="","",VLOOKUP(I189,Normtijden_Config!$A$4:$S$55,10,FALSE())),"")</f>
        <v/>
      </c>
      <c r="N189" s="17" t="str">
        <f>IFERROR(IF(I189="","",VLOOKUP(I189,Normtijden_Config!$A$4:$S$55,11,FALSE())),"")</f>
        <v/>
      </c>
      <c r="O189" s="15"/>
      <c r="P189" s="15"/>
      <c r="Q189" s="39"/>
      <c r="R189" s="39"/>
      <c r="S189" s="38" t="str">
        <f t="shared" si="80"/>
        <v/>
      </c>
      <c r="T189" s="38" t="str">
        <f t="shared" si="81"/>
        <v/>
      </c>
      <c r="U189" s="38" t="str">
        <f t="shared" ca="1" si="82"/>
        <v/>
      </c>
      <c r="V189" s="38">
        <f t="shared" ca="1" si="83"/>
        <v>0</v>
      </c>
      <c r="W189" s="18" t="str">
        <f t="shared" ca="1" si="84"/>
        <v>n.v.t.</v>
      </c>
      <c r="X189" s="17" t="str">
        <f t="shared" ca="1" si="85"/>
        <v>ONBEKEND</v>
      </c>
      <c r="Y189" s="17" t="b">
        <f t="shared" ca="1" si="86"/>
        <v>0</v>
      </c>
      <c r="Z189" s="17" t="b">
        <f t="shared" si="87"/>
        <v>0</v>
      </c>
      <c r="AA189" s="17" t="b">
        <f t="shared" ca="1" si="88"/>
        <v>0</v>
      </c>
      <c r="AB189" s="20" t="str">
        <f t="shared" ca="1" si="89"/>
        <v/>
      </c>
      <c r="AC189" s="15"/>
      <c r="AD189" s="15"/>
      <c r="AE189" s="21"/>
      <c r="AF189" s="22"/>
    </row>
    <row r="190" spans="1:32" ht="15" customHeight="1" x14ac:dyDescent="0.3">
      <c r="A190" s="15"/>
      <c r="B190" s="17" t="str">
        <f t="shared" si="75"/>
        <v/>
      </c>
      <c r="C190" s="38" t="str">
        <f t="shared" si="76"/>
        <v/>
      </c>
      <c r="D190" s="17" t="str">
        <f t="shared" si="77"/>
        <v/>
      </c>
      <c r="E190" s="17" t="str">
        <f t="shared" si="78"/>
        <v/>
      </c>
      <c r="F190" s="15"/>
      <c r="G190" s="15"/>
      <c r="H190" s="15"/>
      <c r="I190" s="17" t="str">
        <f t="shared" si="79"/>
        <v/>
      </c>
      <c r="J190" s="18" t="str">
        <f>IFERROR(IF(I190="","",VLOOKUP(I190,Normtijden_Config!$A$4:$S$55,7,FALSE())),"")</f>
        <v/>
      </c>
      <c r="K190" s="17" t="str">
        <f>IFERROR(IF(I190="","",VLOOKUP(I190,Normtijden_Config!$A$4:$S$55,8,FALSE())),"")</f>
        <v/>
      </c>
      <c r="L190" s="18" t="str">
        <f>IF(I190="","",IFERROR(  IF(VLOOKUP(I190,Normtijden_Config!$A$4:$S$55,9,FALSE())&lt;&gt;"",     VLOOKUP(I190,Normtijden_Config!$A$4:$S$55,9,FALSE()),     IFERROR(-INDEX(tbl_Offsets_Wd,MATCH(K190&amp;"|"&amp;D190&amp;"|"&amp;E190,tbl_Offsets_Key,0)),"")),""))</f>
        <v/>
      </c>
      <c r="M190" s="17" t="str">
        <f>IFERROR(IF(I190="","",VLOOKUP(I190,Normtijden_Config!$A$4:$S$55,10,FALSE())),"")</f>
        <v/>
      </c>
      <c r="N190" s="17" t="str">
        <f>IFERROR(IF(I190="","",VLOOKUP(I190,Normtijden_Config!$A$4:$S$55,11,FALSE())),"")</f>
        <v/>
      </c>
      <c r="O190" s="15"/>
      <c r="P190" s="15"/>
      <c r="Q190" s="39"/>
      <c r="R190" s="39"/>
      <c r="S190" s="38" t="str">
        <f t="shared" si="80"/>
        <v/>
      </c>
      <c r="T190" s="38" t="str">
        <f t="shared" si="81"/>
        <v/>
      </c>
      <c r="U190" s="38" t="str">
        <f t="shared" ca="1" si="82"/>
        <v/>
      </c>
      <c r="V190" s="38">
        <f t="shared" ca="1" si="83"/>
        <v>0</v>
      </c>
      <c r="W190" s="18" t="str">
        <f t="shared" ca="1" si="84"/>
        <v>n.v.t.</v>
      </c>
      <c r="X190" s="17" t="str">
        <f t="shared" ca="1" si="85"/>
        <v>ONBEKEND</v>
      </c>
      <c r="Y190" s="17" t="b">
        <f t="shared" ca="1" si="86"/>
        <v>0</v>
      </c>
      <c r="Z190" s="17" t="b">
        <f t="shared" si="87"/>
        <v>0</v>
      </c>
      <c r="AA190" s="17" t="b">
        <f t="shared" ca="1" si="88"/>
        <v>0</v>
      </c>
      <c r="AB190" s="20" t="str">
        <f t="shared" ca="1" si="89"/>
        <v/>
      </c>
      <c r="AC190" s="15"/>
      <c r="AD190" s="15"/>
      <c r="AE190" s="21"/>
      <c r="AF190" s="22"/>
    </row>
    <row r="191" spans="1:32" ht="15" customHeight="1" x14ac:dyDescent="0.3">
      <c r="A191" s="15"/>
      <c r="B191" s="17" t="str">
        <f t="shared" si="75"/>
        <v/>
      </c>
      <c r="C191" s="38" t="str">
        <f t="shared" si="76"/>
        <v/>
      </c>
      <c r="D191" s="17" t="str">
        <f t="shared" si="77"/>
        <v/>
      </c>
      <c r="E191" s="17" t="str">
        <f t="shared" si="78"/>
        <v/>
      </c>
      <c r="F191" s="15"/>
      <c r="G191" s="15"/>
      <c r="H191" s="15"/>
      <c r="I191" s="17" t="str">
        <f t="shared" si="79"/>
        <v/>
      </c>
      <c r="J191" s="18" t="str">
        <f>IFERROR(IF(I191="","",VLOOKUP(I191,Normtijden_Config!$A$4:$S$55,7,FALSE())),"")</f>
        <v/>
      </c>
      <c r="K191" s="17" t="str">
        <f>IFERROR(IF(I191="","",VLOOKUP(I191,Normtijden_Config!$A$4:$S$55,8,FALSE())),"")</f>
        <v/>
      </c>
      <c r="L191" s="18" t="str">
        <f>IF(I191="","",IFERROR(  IF(VLOOKUP(I191,Normtijden_Config!$A$4:$S$55,9,FALSE())&lt;&gt;"",     VLOOKUP(I191,Normtijden_Config!$A$4:$S$55,9,FALSE()),     IFERROR(-INDEX(tbl_Offsets_Wd,MATCH(K191&amp;"|"&amp;D191&amp;"|"&amp;E191,tbl_Offsets_Key,0)),"")),""))</f>
        <v/>
      </c>
      <c r="M191" s="17" t="str">
        <f>IFERROR(IF(I191="","",VLOOKUP(I191,Normtijden_Config!$A$4:$S$55,10,FALSE())),"")</f>
        <v/>
      </c>
      <c r="N191" s="17" t="str">
        <f>IFERROR(IF(I191="","",VLOOKUP(I191,Normtijden_Config!$A$4:$S$55,11,FALSE())),"")</f>
        <v/>
      </c>
      <c r="O191" s="15"/>
      <c r="P191" s="15"/>
      <c r="Q191" s="39"/>
      <c r="R191" s="39"/>
      <c r="S191" s="38" t="str">
        <f t="shared" si="80"/>
        <v/>
      </c>
      <c r="T191" s="38" t="str">
        <f t="shared" si="81"/>
        <v/>
      </c>
      <c r="U191" s="38" t="str">
        <f t="shared" ca="1" si="82"/>
        <v/>
      </c>
      <c r="V191" s="38">
        <f t="shared" ca="1" si="83"/>
        <v>0</v>
      </c>
      <c r="W191" s="18" t="str">
        <f t="shared" ca="1" si="84"/>
        <v>n.v.t.</v>
      </c>
      <c r="X191" s="17" t="str">
        <f t="shared" ca="1" si="85"/>
        <v>ONBEKEND</v>
      </c>
      <c r="Y191" s="17" t="b">
        <f t="shared" ca="1" si="86"/>
        <v>0</v>
      </c>
      <c r="Z191" s="17" t="b">
        <f t="shared" si="87"/>
        <v>0</v>
      </c>
      <c r="AA191" s="17" t="b">
        <f t="shared" ca="1" si="88"/>
        <v>0</v>
      </c>
      <c r="AB191" s="20" t="str">
        <f t="shared" ca="1" si="89"/>
        <v/>
      </c>
      <c r="AC191" s="15"/>
      <c r="AD191" s="15"/>
      <c r="AE191" s="21"/>
      <c r="AF191" s="22"/>
    </row>
    <row r="192" spans="1:32" ht="15" customHeight="1" x14ac:dyDescent="0.3">
      <c r="A192" s="15"/>
      <c r="B192" s="17" t="str">
        <f t="shared" si="75"/>
        <v/>
      </c>
      <c r="C192" s="38" t="str">
        <f t="shared" si="76"/>
        <v/>
      </c>
      <c r="D192" s="17" t="str">
        <f t="shared" si="77"/>
        <v/>
      </c>
      <c r="E192" s="17" t="str">
        <f t="shared" si="78"/>
        <v/>
      </c>
      <c r="F192" s="15"/>
      <c r="G192" s="15"/>
      <c r="H192" s="15"/>
      <c r="I192" s="17" t="str">
        <f t="shared" si="79"/>
        <v/>
      </c>
      <c r="J192" s="18" t="str">
        <f>IFERROR(IF(I192="","",VLOOKUP(I192,Normtijden_Config!$A$4:$S$55,7,FALSE())),"")</f>
        <v/>
      </c>
      <c r="K192" s="17" t="str">
        <f>IFERROR(IF(I192="","",VLOOKUP(I192,Normtijden_Config!$A$4:$S$55,8,FALSE())),"")</f>
        <v/>
      </c>
      <c r="L192" s="18" t="str">
        <f>IF(I192="","",IFERROR(  IF(VLOOKUP(I192,Normtijden_Config!$A$4:$S$55,9,FALSE())&lt;&gt;"",     VLOOKUP(I192,Normtijden_Config!$A$4:$S$55,9,FALSE()),     IFERROR(-INDEX(tbl_Offsets_Wd,MATCH(K192&amp;"|"&amp;D192&amp;"|"&amp;E192,tbl_Offsets_Key,0)),"")),""))</f>
        <v/>
      </c>
      <c r="M192" s="17" t="str">
        <f>IFERROR(IF(I192="","",VLOOKUP(I192,Normtijden_Config!$A$4:$S$55,10,FALSE())),"")</f>
        <v/>
      </c>
      <c r="N192" s="17" t="str">
        <f>IFERROR(IF(I192="","",VLOOKUP(I192,Normtijden_Config!$A$4:$S$55,11,FALSE())),"")</f>
        <v/>
      </c>
      <c r="O192" s="15"/>
      <c r="P192" s="15"/>
      <c r="Q192" s="39"/>
      <c r="R192" s="39"/>
      <c r="S192" s="38" t="str">
        <f t="shared" si="80"/>
        <v/>
      </c>
      <c r="T192" s="38" t="str">
        <f t="shared" si="81"/>
        <v/>
      </c>
      <c r="U192" s="38" t="str">
        <f t="shared" ca="1" si="82"/>
        <v/>
      </c>
      <c r="V192" s="38">
        <f t="shared" ca="1" si="83"/>
        <v>0</v>
      </c>
      <c r="W192" s="18" t="str">
        <f t="shared" ca="1" si="84"/>
        <v>n.v.t.</v>
      </c>
      <c r="X192" s="17" t="str">
        <f t="shared" ca="1" si="85"/>
        <v>ONBEKEND</v>
      </c>
      <c r="Y192" s="17" t="b">
        <f t="shared" ca="1" si="86"/>
        <v>0</v>
      </c>
      <c r="Z192" s="17" t="b">
        <f t="shared" si="87"/>
        <v>0</v>
      </c>
      <c r="AA192" s="17" t="b">
        <f t="shared" ca="1" si="88"/>
        <v>0</v>
      </c>
      <c r="AB192" s="20" t="str">
        <f t="shared" ca="1" si="89"/>
        <v/>
      </c>
      <c r="AC192" s="15"/>
      <c r="AD192" s="15"/>
      <c r="AE192" s="21"/>
      <c r="AF192" s="22"/>
    </row>
    <row r="193" spans="1:32" ht="15" customHeight="1" x14ac:dyDescent="0.3">
      <c r="A193" s="15"/>
      <c r="B193" s="17" t="str">
        <f t="shared" si="75"/>
        <v/>
      </c>
      <c r="C193" s="38" t="str">
        <f t="shared" si="76"/>
        <v/>
      </c>
      <c r="D193" s="17" t="str">
        <f t="shared" si="77"/>
        <v/>
      </c>
      <c r="E193" s="17" t="str">
        <f t="shared" si="78"/>
        <v/>
      </c>
      <c r="F193" s="15"/>
      <c r="G193" s="15"/>
      <c r="H193" s="15"/>
      <c r="I193" s="17" t="str">
        <f t="shared" si="79"/>
        <v/>
      </c>
      <c r="J193" s="18" t="str">
        <f>IFERROR(IF(I193="","",VLOOKUP(I193,Normtijden_Config!$A$4:$S$55,7,FALSE())),"")</f>
        <v/>
      </c>
      <c r="K193" s="17" t="str">
        <f>IFERROR(IF(I193="","",VLOOKUP(I193,Normtijden_Config!$A$4:$S$55,8,FALSE())),"")</f>
        <v/>
      </c>
      <c r="L193" s="18" t="str">
        <f>IF(I193="","",IFERROR(  IF(VLOOKUP(I193,Normtijden_Config!$A$4:$S$55,9,FALSE())&lt;&gt;"",     VLOOKUP(I193,Normtijden_Config!$A$4:$S$55,9,FALSE()),     IFERROR(-INDEX(tbl_Offsets_Wd,MATCH(K193&amp;"|"&amp;D193&amp;"|"&amp;E193,tbl_Offsets_Key,0)),"")),""))</f>
        <v/>
      </c>
      <c r="M193" s="17" t="str">
        <f>IFERROR(IF(I193="","",VLOOKUP(I193,Normtijden_Config!$A$4:$S$55,10,FALSE())),"")</f>
        <v/>
      </c>
      <c r="N193" s="17" t="str">
        <f>IFERROR(IF(I193="","",VLOOKUP(I193,Normtijden_Config!$A$4:$S$55,11,FALSE())),"")</f>
        <v/>
      </c>
      <c r="O193" s="15"/>
      <c r="P193" s="15"/>
      <c r="Q193" s="39"/>
      <c r="R193" s="39"/>
      <c r="S193" s="38" t="str">
        <f t="shared" si="80"/>
        <v/>
      </c>
      <c r="T193" s="38" t="str">
        <f t="shared" si="81"/>
        <v/>
      </c>
      <c r="U193" s="38" t="str">
        <f t="shared" ca="1" si="82"/>
        <v/>
      </c>
      <c r="V193" s="38">
        <f t="shared" ca="1" si="83"/>
        <v>0</v>
      </c>
      <c r="W193" s="18" t="str">
        <f t="shared" ca="1" si="84"/>
        <v>n.v.t.</v>
      </c>
      <c r="X193" s="17" t="str">
        <f t="shared" ca="1" si="85"/>
        <v>ONBEKEND</v>
      </c>
      <c r="Y193" s="17" t="b">
        <f t="shared" ca="1" si="86"/>
        <v>0</v>
      </c>
      <c r="Z193" s="17" t="b">
        <f t="shared" si="87"/>
        <v>0</v>
      </c>
      <c r="AA193" s="17" t="b">
        <f t="shared" ca="1" si="88"/>
        <v>0</v>
      </c>
      <c r="AB193" s="20" t="str">
        <f t="shared" ca="1" si="89"/>
        <v/>
      </c>
      <c r="AC193" s="15"/>
      <c r="AD193" s="15"/>
      <c r="AE193" s="21"/>
      <c r="AF193" s="22"/>
    </row>
    <row r="194" spans="1:32" ht="15" customHeight="1" x14ac:dyDescent="0.3">
      <c r="A194" s="15"/>
      <c r="B194" s="17" t="str">
        <f t="shared" si="75"/>
        <v/>
      </c>
      <c r="C194" s="38" t="str">
        <f t="shared" si="76"/>
        <v/>
      </c>
      <c r="D194" s="17" t="str">
        <f t="shared" si="77"/>
        <v/>
      </c>
      <c r="E194" s="17" t="str">
        <f t="shared" si="78"/>
        <v/>
      </c>
      <c r="F194" s="15"/>
      <c r="G194" s="15"/>
      <c r="H194" s="15"/>
      <c r="I194" s="17" t="str">
        <f t="shared" si="79"/>
        <v/>
      </c>
      <c r="J194" s="18" t="str">
        <f>IFERROR(IF(I194="","",VLOOKUP(I194,Normtijden_Config!$A$4:$S$55,7,FALSE())),"")</f>
        <v/>
      </c>
      <c r="K194" s="17" t="str">
        <f>IFERROR(IF(I194="","",VLOOKUP(I194,Normtijden_Config!$A$4:$S$55,8,FALSE())),"")</f>
        <v/>
      </c>
      <c r="L194" s="18" t="str">
        <f>IF(I194="","",IFERROR(  IF(VLOOKUP(I194,Normtijden_Config!$A$4:$S$55,9,FALSE())&lt;&gt;"",     VLOOKUP(I194,Normtijden_Config!$A$4:$S$55,9,FALSE()),     IFERROR(-INDEX(tbl_Offsets_Wd,MATCH(K194&amp;"|"&amp;D194&amp;"|"&amp;E194,tbl_Offsets_Key,0)),"")),""))</f>
        <v/>
      </c>
      <c r="M194" s="17" t="str">
        <f>IFERROR(IF(I194="","",VLOOKUP(I194,Normtijden_Config!$A$4:$S$55,10,FALSE())),"")</f>
        <v/>
      </c>
      <c r="N194" s="17" t="str">
        <f>IFERROR(IF(I194="","",VLOOKUP(I194,Normtijden_Config!$A$4:$S$55,11,FALSE())),"")</f>
        <v/>
      </c>
      <c r="O194" s="15"/>
      <c r="P194" s="15"/>
      <c r="Q194" s="39"/>
      <c r="R194" s="39"/>
      <c r="S194" s="38" t="str">
        <f t="shared" si="80"/>
        <v/>
      </c>
      <c r="T194" s="38" t="str">
        <f t="shared" si="81"/>
        <v/>
      </c>
      <c r="U194" s="38" t="str">
        <f t="shared" ca="1" si="82"/>
        <v/>
      </c>
      <c r="V194" s="38">
        <f t="shared" ca="1" si="83"/>
        <v>0</v>
      </c>
      <c r="W194" s="18" t="str">
        <f t="shared" ca="1" si="84"/>
        <v>n.v.t.</v>
      </c>
      <c r="X194" s="17" t="str">
        <f t="shared" ca="1" si="85"/>
        <v>ONBEKEND</v>
      </c>
      <c r="Y194" s="17" t="b">
        <f t="shared" ca="1" si="86"/>
        <v>0</v>
      </c>
      <c r="Z194" s="17" t="b">
        <f t="shared" si="87"/>
        <v>0</v>
      </c>
      <c r="AA194" s="17" t="b">
        <f t="shared" ca="1" si="88"/>
        <v>0</v>
      </c>
      <c r="AB194" s="20" t="str">
        <f t="shared" ca="1" si="89"/>
        <v/>
      </c>
      <c r="AC194" s="15"/>
      <c r="AD194" s="15"/>
      <c r="AE194" s="21"/>
      <c r="AF194" s="22"/>
    </row>
    <row r="195" spans="1:32" ht="15" customHeight="1" x14ac:dyDescent="0.3">
      <c r="A195" s="15"/>
      <c r="B195" s="17" t="str">
        <f t="shared" si="75"/>
        <v/>
      </c>
      <c r="C195" s="38" t="str">
        <f t="shared" si="76"/>
        <v/>
      </c>
      <c r="D195" s="17" t="str">
        <f t="shared" si="77"/>
        <v/>
      </c>
      <c r="E195" s="17" t="str">
        <f t="shared" si="78"/>
        <v/>
      </c>
      <c r="F195" s="15"/>
      <c r="G195" s="15"/>
      <c r="H195" s="15"/>
      <c r="I195" s="17" t="str">
        <f t="shared" si="79"/>
        <v/>
      </c>
      <c r="J195" s="18" t="str">
        <f>IFERROR(IF(I195="","",VLOOKUP(I195,Normtijden_Config!$A$4:$S$55,7,FALSE())),"")</f>
        <v/>
      </c>
      <c r="K195" s="17" t="str">
        <f>IFERROR(IF(I195="","",VLOOKUP(I195,Normtijden_Config!$A$4:$S$55,8,FALSE())),"")</f>
        <v/>
      </c>
      <c r="L195" s="18" t="str">
        <f>IF(I195="","",IFERROR(  IF(VLOOKUP(I195,Normtijden_Config!$A$4:$S$55,9,FALSE())&lt;&gt;"",     VLOOKUP(I195,Normtijden_Config!$A$4:$S$55,9,FALSE()),     IFERROR(-INDEX(tbl_Offsets_Wd,MATCH(K195&amp;"|"&amp;D195&amp;"|"&amp;E195,tbl_Offsets_Key,0)),"")),""))</f>
        <v/>
      </c>
      <c r="M195" s="17" t="str">
        <f>IFERROR(IF(I195="","",VLOOKUP(I195,Normtijden_Config!$A$4:$S$55,10,FALSE())),"")</f>
        <v/>
      </c>
      <c r="N195" s="17" t="str">
        <f>IFERROR(IF(I195="","",VLOOKUP(I195,Normtijden_Config!$A$4:$S$55,11,FALSE())),"")</f>
        <v/>
      </c>
      <c r="O195" s="15"/>
      <c r="P195" s="15"/>
      <c r="Q195" s="39"/>
      <c r="R195" s="39"/>
      <c r="S195" s="38" t="str">
        <f t="shared" si="80"/>
        <v/>
      </c>
      <c r="T195" s="38" t="str">
        <f t="shared" si="81"/>
        <v/>
      </c>
      <c r="U195" s="38" t="str">
        <f t="shared" ca="1" si="82"/>
        <v/>
      </c>
      <c r="V195" s="38">
        <f t="shared" ca="1" si="83"/>
        <v>0</v>
      </c>
      <c r="W195" s="18" t="str">
        <f t="shared" ca="1" si="84"/>
        <v>n.v.t.</v>
      </c>
      <c r="X195" s="17" t="str">
        <f t="shared" ca="1" si="85"/>
        <v>ONBEKEND</v>
      </c>
      <c r="Y195" s="17" t="b">
        <f t="shared" ca="1" si="86"/>
        <v>0</v>
      </c>
      <c r="Z195" s="17" t="b">
        <f t="shared" si="87"/>
        <v>0</v>
      </c>
      <c r="AA195" s="17" t="b">
        <f t="shared" ca="1" si="88"/>
        <v>0</v>
      </c>
      <c r="AB195" s="20" t="str">
        <f t="shared" ca="1" si="89"/>
        <v/>
      </c>
      <c r="AC195" s="15"/>
      <c r="AD195" s="15"/>
      <c r="AE195" s="21"/>
      <c r="AF195" s="22"/>
    </row>
    <row r="196" spans="1:32" ht="15" customHeight="1" x14ac:dyDescent="0.3">
      <c r="A196" s="15"/>
      <c r="B196" s="17" t="str">
        <f t="shared" ref="B196:B227" si="90">IF(A196="","",IFERROR(INDEX(tbl_Proj_Naam,MATCH(A196,tbl_Proj_ID,0)),"—"))</f>
        <v/>
      </c>
      <c r="C196" s="38" t="str">
        <f t="shared" si="76"/>
        <v/>
      </c>
      <c r="D196" s="17" t="str">
        <f t="shared" si="77"/>
        <v/>
      </c>
      <c r="E196" s="17" t="str">
        <f t="shared" si="78"/>
        <v/>
      </c>
      <c r="F196" s="15"/>
      <c r="G196" s="15"/>
      <c r="H196" s="15"/>
      <c r="I196" s="17" t="str">
        <f t="shared" ref="I196:I227" si="91">IF(OR(F196="",H196=""),"",IFERROR(INDEX(tbl_Keuzes_ItemID,MATCH(LEFT(F196,1)&amp;"|"&amp;G196&amp;"|"&amp;H196,tbl_Keuzes_Key,0)),""))</f>
        <v/>
      </c>
      <c r="J196" s="18" t="str">
        <f>IFERROR(IF(I196="","",VLOOKUP(I196,Normtijden_Config!$A$4:$S$55,7,FALSE())),"")</f>
        <v/>
      </c>
      <c r="K196" s="17" t="str">
        <f>IFERROR(IF(I196="","",VLOOKUP(I196,Normtijden_Config!$A$4:$S$55,8,FALSE())),"")</f>
        <v/>
      </c>
      <c r="L196" s="18" t="str">
        <f>IF(I196="","",IFERROR(  IF(VLOOKUP(I196,Normtijden_Config!$A$4:$S$55,9,FALSE())&lt;&gt;"",     VLOOKUP(I196,Normtijden_Config!$A$4:$S$55,9,FALSE()),     IFERROR(-INDEX(tbl_Offsets_Wd,MATCH(K196&amp;"|"&amp;D196&amp;"|"&amp;E196,tbl_Offsets_Key,0)),"")),""))</f>
        <v/>
      </c>
      <c r="M196" s="17" t="str">
        <f>IFERROR(IF(I196="","",VLOOKUP(I196,Normtijden_Config!$A$4:$S$55,10,FALSE())),"")</f>
        <v/>
      </c>
      <c r="N196" s="17" t="str">
        <f>IFERROR(IF(I196="","",VLOOKUP(I196,Normtijden_Config!$A$4:$S$55,11,FALSE())),"")</f>
        <v/>
      </c>
      <c r="O196" s="15"/>
      <c r="P196" s="15"/>
      <c r="Q196" s="39"/>
      <c r="R196" s="39"/>
      <c r="S196" s="38" t="str">
        <f t="shared" si="80"/>
        <v/>
      </c>
      <c r="T196" s="38" t="str">
        <f t="shared" ref="T196:T227" si="92">IF(OR(S196="",J196=""),"",WORKDAY(S196,-J196))</f>
        <v/>
      </c>
      <c r="U196" s="38" t="str">
        <f t="shared" ca="1" si="82"/>
        <v/>
      </c>
      <c r="V196" s="38">
        <f t="shared" ref="V196:V227" ca="1" si="93">IF(OR(P196="Afgerond",P196="Goedgekeurd",P196="N.v.t"),0,IF(OR(U196="",L196=""),0,WORKDAY(U196,L196)))</f>
        <v>0</v>
      </c>
      <c r="W196" s="18" t="str">
        <f t="shared" ca="1" si="84"/>
        <v>n.v.t.</v>
      </c>
      <c r="X196" s="17" t="str">
        <f t="shared" ca="1" si="85"/>
        <v>ONBEKEND</v>
      </c>
      <c r="Y196" s="17" t="b">
        <f t="shared" ref="Y196:Y227" ca="1" si="94">IF(A196="",FALSE(),OR(X196="KRAP",AND(P196="Nodig",IFERROR(TODAY()&gt;=T196-10,FALSE())),AND(P196="Ingediend",ISNUMBER(W196),W196&lt;=5,W196&gt;0),P196="Afgewezen"))</f>
        <v>0</v>
      </c>
      <c r="Z196" s="17" t="b">
        <f t="shared" si="87"/>
        <v>0</v>
      </c>
      <c r="AA196" s="17" t="b">
        <f t="shared" ca="1" si="88"/>
        <v>0</v>
      </c>
      <c r="AB196" s="20" t="str">
        <f t="shared" ref="AB196:AB227" ca="1" si="95">IF(A196="","",IF(P196="N.v.t","⚪",IF(OR(P196="Afgerond",P196="Goedgekeurd"),"🟢",IF(Z196=TRUE(),"🔴",IF(AA196=TRUE(),"🔴",IF(Y196=TRUE(),"🟠",IF(AND(F196="G-Schouw",J196=""),IF(P196="Ingediend","🟠",IF(AND(C196&lt;&gt;"",TODAY()&gt;C196-28),"🔴","🟠")),"🟢")))))))</f>
        <v/>
      </c>
      <c r="AC196" s="15"/>
      <c r="AD196" s="15"/>
      <c r="AE196" s="21"/>
      <c r="AF196" s="22"/>
    </row>
    <row r="197" spans="1:32" ht="15" customHeight="1" x14ac:dyDescent="0.3">
      <c r="A197" s="15"/>
      <c r="B197" s="17" t="str">
        <f t="shared" si="90"/>
        <v/>
      </c>
      <c r="C197" s="38" t="str">
        <f t="shared" si="76"/>
        <v/>
      </c>
      <c r="D197" s="17" t="str">
        <f t="shared" si="77"/>
        <v/>
      </c>
      <c r="E197" s="17" t="str">
        <f t="shared" si="78"/>
        <v/>
      </c>
      <c r="F197" s="15"/>
      <c r="G197" s="15"/>
      <c r="H197" s="15"/>
      <c r="I197" s="17" t="str">
        <f t="shared" si="91"/>
        <v/>
      </c>
      <c r="J197" s="18" t="str">
        <f>IFERROR(IF(I197="","",VLOOKUP(I197,Normtijden_Config!$A$4:$S$55,7,FALSE())),"")</f>
        <v/>
      </c>
      <c r="K197" s="17" t="str">
        <f>IFERROR(IF(I197="","",VLOOKUP(I197,Normtijden_Config!$A$4:$S$55,8,FALSE())),"")</f>
        <v/>
      </c>
      <c r="L197" s="18" t="str">
        <f>IF(I197="","",IFERROR(  IF(VLOOKUP(I197,Normtijden_Config!$A$4:$S$55,9,FALSE())&lt;&gt;"",     VLOOKUP(I197,Normtijden_Config!$A$4:$S$55,9,FALSE()),     IFERROR(-INDEX(tbl_Offsets_Wd,MATCH(K197&amp;"|"&amp;D197&amp;"|"&amp;E197,tbl_Offsets_Key,0)),"")),""))</f>
        <v/>
      </c>
      <c r="M197" s="17" t="str">
        <f>IFERROR(IF(I197="","",VLOOKUP(I197,Normtijden_Config!$A$4:$S$55,10,FALSE())),"")</f>
        <v/>
      </c>
      <c r="N197" s="17" t="str">
        <f>IFERROR(IF(I197="","",VLOOKUP(I197,Normtijden_Config!$A$4:$S$55,11,FALSE())),"")</f>
        <v/>
      </c>
      <c r="O197" s="15"/>
      <c r="P197" s="15"/>
      <c r="Q197" s="39"/>
      <c r="R197" s="39"/>
      <c r="S197" s="38" t="str">
        <f t="shared" si="80"/>
        <v/>
      </c>
      <c r="T197" s="38" t="str">
        <f t="shared" si="92"/>
        <v/>
      </c>
      <c r="U197" s="38" t="str">
        <f t="shared" ca="1" si="82"/>
        <v/>
      </c>
      <c r="V197" s="38">
        <f t="shared" ca="1" si="93"/>
        <v>0</v>
      </c>
      <c r="W197" s="18" t="str">
        <f t="shared" ca="1" si="84"/>
        <v>n.v.t.</v>
      </c>
      <c r="X197" s="17" t="str">
        <f t="shared" ca="1" si="85"/>
        <v>ONBEKEND</v>
      </c>
      <c r="Y197" s="17" t="b">
        <f t="shared" ca="1" si="94"/>
        <v>0</v>
      </c>
      <c r="Z197" s="17" t="b">
        <f t="shared" si="87"/>
        <v>0</v>
      </c>
      <c r="AA197" s="17" t="b">
        <f t="shared" ca="1" si="88"/>
        <v>0</v>
      </c>
      <c r="AB197" s="20" t="str">
        <f t="shared" ca="1" si="95"/>
        <v/>
      </c>
      <c r="AC197" s="15"/>
      <c r="AD197" s="15"/>
      <c r="AE197" s="21"/>
      <c r="AF197" s="22"/>
    </row>
    <row r="198" spans="1:32" ht="15" customHeight="1" x14ac:dyDescent="0.3">
      <c r="A198" s="15"/>
      <c r="B198" s="17" t="str">
        <f t="shared" si="90"/>
        <v/>
      </c>
      <c r="C198" s="38" t="str">
        <f t="shared" si="76"/>
        <v/>
      </c>
      <c r="D198" s="17" t="str">
        <f t="shared" si="77"/>
        <v/>
      </c>
      <c r="E198" s="17" t="str">
        <f t="shared" si="78"/>
        <v/>
      </c>
      <c r="F198" s="15"/>
      <c r="G198" s="15"/>
      <c r="H198" s="15"/>
      <c r="I198" s="17" t="str">
        <f t="shared" si="91"/>
        <v/>
      </c>
      <c r="J198" s="18" t="str">
        <f>IFERROR(IF(I198="","",VLOOKUP(I198,Normtijden_Config!$A$4:$S$55,7,FALSE())),"")</f>
        <v/>
      </c>
      <c r="K198" s="17" t="str">
        <f>IFERROR(IF(I198="","",VLOOKUP(I198,Normtijden_Config!$A$4:$S$55,8,FALSE())),"")</f>
        <v/>
      </c>
      <c r="L198" s="18" t="str">
        <f>IF(I198="","",IFERROR(  IF(VLOOKUP(I198,Normtijden_Config!$A$4:$S$55,9,FALSE())&lt;&gt;"",     VLOOKUP(I198,Normtijden_Config!$A$4:$S$55,9,FALSE()),     IFERROR(-INDEX(tbl_Offsets_Wd,MATCH(K198&amp;"|"&amp;D198&amp;"|"&amp;E198,tbl_Offsets_Key,0)),"")),""))</f>
        <v/>
      </c>
      <c r="M198" s="17" t="str">
        <f>IFERROR(IF(I198="","",VLOOKUP(I198,Normtijden_Config!$A$4:$S$55,10,FALSE())),"")</f>
        <v/>
      </c>
      <c r="N198" s="17" t="str">
        <f>IFERROR(IF(I198="","",VLOOKUP(I198,Normtijden_Config!$A$4:$S$55,11,FALSE())),"")</f>
        <v/>
      </c>
      <c r="O198" s="15"/>
      <c r="P198" s="15"/>
      <c r="Q198" s="39"/>
      <c r="R198" s="39"/>
      <c r="S198" s="38" t="str">
        <f t="shared" si="80"/>
        <v/>
      </c>
      <c r="T198" s="38" t="str">
        <f t="shared" si="92"/>
        <v/>
      </c>
      <c r="U198" s="38" t="str">
        <f t="shared" ca="1" si="82"/>
        <v/>
      </c>
      <c r="V198" s="38">
        <f t="shared" ca="1" si="93"/>
        <v>0</v>
      </c>
      <c r="W198" s="18" t="str">
        <f t="shared" ca="1" si="84"/>
        <v>n.v.t.</v>
      </c>
      <c r="X198" s="17" t="str">
        <f t="shared" ca="1" si="85"/>
        <v>ONBEKEND</v>
      </c>
      <c r="Y198" s="17" t="b">
        <f t="shared" ca="1" si="94"/>
        <v>0</v>
      </c>
      <c r="Z198" s="17" t="b">
        <f t="shared" si="87"/>
        <v>0</v>
      </c>
      <c r="AA198" s="17" t="b">
        <f t="shared" ca="1" si="88"/>
        <v>0</v>
      </c>
      <c r="AB198" s="20" t="str">
        <f t="shared" ca="1" si="95"/>
        <v/>
      </c>
      <c r="AC198" s="15"/>
      <c r="AD198" s="15"/>
      <c r="AE198" s="21"/>
      <c r="AF198" s="22"/>
    </row>
    <row r="199" spans="1:32" ht="15" customHeight="1" x14ac:dyDescent="0.3">
      <c r="A199" s="15"/>
      <c r="B199" s="17" t="str">
        <f t="shared" si="90"/>
        <v/>
      </c>
      <c r="C199" s="38" t="str">
        <f t="shared" si="76"/>
        <v/>
      </c>
      <c r="D199" s="17" t="str">
        <f t="shared" si="77"/>
        <v/>
      </c>
      <c r="E199" s="17" t="str">
        <f t="shared" si="78"/>
        <v/>
      </c>
      <c r="F199" s="15"/>
      <c r="G199" s="15"/>
      <c r="H199" s="15"/>
      <c r="I199" s="17" t="str">
        <f t="shared" si="91"/>
        <v/>
      </c>
      <c r="J199" s="18" t="str">
        <f>IFERROR(IF(I199="","",VLOOKUP(I199,Normtijden_Config!$A$4:$S$55,7,FALSE())),"")</f>
        <v/>
      </c>
      <c r="K199" s="17" t="str">
        <f>IFERROR(IF(I199="","",VLOOKUP(I199,Normtijden_Config!$A$4:$S$55,8,FALSE())),"")</f>
        <v/>
      </c>
      <c r="L199" s="18" t="str">
        <f>IF(I199="","",IFERROR(  IF(VLOOKUP(I199,Normtijden_Config!$A$4:$S$55,9,FALSE())&lt;&gt;"",     VLOOKUP(I199,Normtijden_Config!$A$4:$S$55,9,FALSE()),     IFERROR(-INDEX(tbl_Offsets_Wd,MATCH(K199&amp;"|"&amp;D199&amp;"|"&amp;E199,tbl_Offsets_Key,0)),"")),""))</f>
        <v/>
      </c>
      <c r="M199" s="17" t="str">
        <f>IFERROR(IF(I199="","",VLOOKUP(I199,Normtijden_Config!$A$4:$S$55,10,FALSE())),"")</f>
        <v/>
      </c>
      <c r="N199" s="17" t="str">
        <f>IFERROR(IF(I199="","",VLOOKUP(I199,Normtijden_Config!$A$4:$S$55,11,FALSE())),"")</f>
        <v/>
      </c>
      <c r="O199" s="15"/>
      <c r="P199" s="15"/>
      <c r="Q199" s="39"/>
      <c r="R199" s="39"/>
      <c r="S199" s="38" t="str">
        <f t="shared" si="80"/>
        <v/>
      </c>
      <c r="T199" s="38" t="str">
        <f t="shared" si="92"/>
        <v/>
      </c>
      <c r="U199" s="38" t="str">
        <f t="shared" ca="1" si="82"/>
        <v/>
      </c>
      <c r="V199" s="38">
        <f t="shared" ca="1" si="93"/>
        <v>0</v>
      </c>
      <c r="W199" s="18" t="str">
        <f t="shared" ca="1" si="84"/>
        <v>n.v.t.</v>
      </c>
      <c r="X199" s="17" t="str">
        <f t="shared" ca="1" si="85"/>
        <v>ONBEKEND</v>
      </c>
      <c r="Y199" s="17" t="b">
        <f t="shared" ca="1" si="94"/>
        <v>0</v>
      </c>
      <c r="Z199" s="17" t="b">
        <f t="shared" si="87"/>
        <v>0</v>
      </c>
      <c r="AA199" s="17" t="b">
        <f t="shared" ca="1" si="88"/>
        <v>0</v>
      </c>
      <c r="AB199" s="20" t="str">
        <f t="shared" ca="1" si="95"/>
        <v/>
      </c>
      <c r="AC199" s="15"/>
      <c r="AD199" s="15"/>
      <c r="AE199" s="21"/>
      <c r="AF199" s="22"/>
    </row>
    <row r="200" spans="1:32" ht="15" customHeight="1" x14ac:dyDescent="0.3">
      <c r="A200" s="15"/>
      <c r="B200" s="17" t="str">
        <f t="shared" si="90"/>
        <v/>
      </c>
      <c r="C200" s="38" t="str">
        <f t="shared" si="76"/>
        <v/>
      </c>
      <c r="D200" s="17" t="str">
        <f t="shared" si="77"/>
        <v/>
      </c>
      <c r="E200" s="17" t="str">
        <f t="shared" si="78"/>
        <v/>
      </c>
      <c r="F200" s="15"/>
      <c r="G200" s="15"/>
      <c r="H200" s="15"/>
      <c r="I200" s="17" t="str">
        <f t="shared" si="91"/>
        <v/>
      </c>
      <c r="J200" s="18" t="str">
        <f>IFERROR(IF(I200="","",VLOOKUP(I200,Normtijden_Config!$A$4:$S$55,7,FALSE())),"")</f>
        <v/>
      </c>
      <c r="K200" s="17" t="str">
        <f>IFERROR(IF(I200="","",VLOOKUP(I200,Normtijden_Config!$A$4:$S$55,8,FALSE())),"")</f>
        <v/>
      </c>
      <c r="L200" s="18" t="str">
        <f>IF(I200="","",IFERROR(  IF(VLOOKUP(I200,Normtijden_Config!$A$4:$S$55,9,FALSE())&lt;&gt;"",     VLOOKUP(I200,Normtijden_Config!$A$4:$S$55,9,FALSE()),     IFERROR(-INDEX(tbl_Offsets_Wd,MATCH(K200&amp;"|"&amp;D200&amp;"|"&amp;E200,tbl_Offsets_Key,0)),"")),""))</f>
        <v/>
      </c>
      <c r="M200" s="17" t="str">
        <f>IFERROR(IF(I200="","",VLOOKUP(I200,Normtijden_Config!$A$4:$S$55,10,FALSE())),"")</f>
        <v/>
      </c>
      <c r="N200" s="17" t="str">
        <f>IFERROR(IF(I200="","",VLOOKUP(I200,Normtijden_Config!$A$4:$S$55,11,FALSE())),"")</f>
        <v/>
      </c>
      <c r="O200" s="15"/>
      <c r="P200" s="15"/>
      <c r="Q200" s="39"/>
      <c r="R200" s="39"/>
      <c r="S200" s="38" t="str">
        <f t="shared" si="80"/>
        <v/>
      </c>
      <c r="T200" s="38" t="str">
        <f t="shared" si="92"/>
        <v/>
      </c>
      <c r="U200" s="38" t="str">
        <f t="shared" ca="1" si="82"/>
        <v/>
      </c>
      <c r="V200" s="38">
        <f t="shared" ca="1" si="93"/>
        <v>0</v>
      </c>
      <c r="W200" s="18" t="str">
        <f t="shared" ca="1" si="84"/>
        <v>n.v.t.</v>
      </c>
      <c r="X200" s="17" t="str">
        <f t="shared" ca="1" si="85"/>
        <v>ONBEKEND</v>
      </c>
      <c r="Y200" s="17" t="b">
        <f t="shared" ca="1" si="94"/>
        <v>0</v>
      </c>
      <c r="Z200" s="17" t="b">
        <f t="shared" si="87"/>
        <v>0</v>
      </c>
      <c r="AA200" s="17" t="b">
        <f t="shared" ca="1" si="88"/>
        <v>0</v>
      </c>
      <c r="AB200" s="20" t="str">
        <f t="shared" ca="1" si="95"/>
        <v/>
      </c>
      <c r="AC200" s="15"/>
      <c r="AD200" s="15"/>
      <c r="AE200" s="21"/>
      <c r="AF200" s="22"/>
    </row>
  </sheetData>
  <autoFilter ref="A3:AF200" xr:uid="{00000000-0009-0000-0000-000006000000}"/>
  <mergeCells count="1">
    <mergeCell ref="A1:AB1"/>
  </mergeCells>
  <conditionalFormatting sqref="AB4:AB200">
    <cfRule type="expression" dxfId="17" priority="2">
      <formula>AB4="🔴"</formula>
    </cfRule>
    <cfRule type="expression" dxfId="16" priority="3">
      <formula>AB4="🟠"</formula>
    </cfRule>
    <cfRule type="expression" dxfId="15" priority="4">
      <formula>AB4="🟢"</formula>
    </cfRule>
  </conditionalFormatting>
  <dataValidations count="7">
    <dataValidation type="list" allowBlank="1" sqref="F4:F200" xr:uid="{00000000-0002-0000-0600-000000000000}">
      <formula1>lst_Hoofdcategorie</formula1>
      <formula2>0</formula2>
    </dataValidation>
    <dataValidation type="list" allowBlank="1" sqref="P4:P200" xr:uid="{00000000-0002-0000-0600-000001000000}">
      <formula1>lst_Status</formula1>
      <formula2>0</formula2>
    </dataValidation>
    <dataValidation type="list" allowBlank="1" sqref="AC4:AC200" xr:uid="{00000000-0002-0000-0600-000002000000}">
      <formula1>lst_Oorzaken</formula1>
      <formula2>0</formula2>
    </dataValidation>
    <dataValidation type="list" allowBlank="1" sqref="O4:O200" xr:uid="{00000000-0002-0000-0600-000003000000}">
      <formula1>lst_Eigenaren</formula1>
      <formula2>0</formula2>
    </dataValidation>
    <dataValidation type="list" allowBlank="1" sqref="A4:A200" xr:uid="{00000000-0002-0000-0600-000004000000}">
      <formula1>tbl_Proj_ID</formula1>
      <formula2>0</formula2>
    </dataValidation>
    <dataValidation type="list" allowBlank="1" sqref="G4:G200" xr:uid="{00000000-0002-0000-0600-000005000000}">
      <formula1>INDIRECT("Subs_"&amp;LEFT($F4,1))</formula1>
      <formula2>0</formula2>
    </dataValidation>
    <dataValidation type="list" allowBlank="1" sqref="H4:H200" xr:uid="{00000000-0002-0000-0600-000006000000}">
      <formula1>INDIRECT("Types_"&amp;LEFT($F4,1)&amp;"_"&amp;$G4)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AF200"/>
  <sheetViews>
    <sheetView showGridLines="0" zoomScaleNormal="100" workbookViewId="0">
      <pane ySplit="3" topLeftCell="A4" activePane="bottomLeft" state="frozen"/>
      <selection pane="bottomLeft" activeCell="AE4" sqref="AE4"/>
    </sheetView>
  </sheetViews>
  <sheetFormatPr defaultColWidth="8.6640625" defaultRowHeight="14.4" x14ac:dyDescent="0.3"/>
  <cols>
    <col min="1" max="1" width="14" customWidth="1"/>
    <col min="2" max="2" width="24" customWidth="1"/>
    <col min="3" max="3" width="12" customWidth="1"/>
    <col min="4" max="4" width="14" customWidth="1"/>
    <col min="5" max="5" width="10" customWidth="1"/>
    <col min="6" max="7" width="16" customWidth="1"/>
    <col min="8" max="8" width="56" bestFit="1" customWidth="1"/>
    <col min="9" max="9" width="13" customWidth="1"/>
    <col min="10" max="10" width="11" customWidth="1"/>
    <col min="11" max="11" width="18" customWidth="1"/>
    <col min="12" max="12" width="11" customWidth="1"/>
    <col min="13" max="14" width="10" customWidth="1"/>
    <col min="15" max="15" width="20" customWidth="1"/>
    <col min="16" max="21" width="13" customWidth="1"/>
    <col min="22" max="22" width="15" customWidth="1"/>
    <col min="23" max="23" width="10" customWidth="1"/>
    <col min="24" max="24" width="12" customWidth="1"/>
    <col min="25" max="27" width="10" customWidth="1"/>
    <col min="28" max="28" width="9" customWidth="1"/>
    <col min="29" max="29" width="24" customWidth="1"/>
    <col min="30" max="30" width="32" customWidth="1"/>
    <col min="31" max="31" width="15.44140625" bestFit="1" customWidth="1"/>
    <col min="32" max="32" width="16" customWidth="1"/>
  </cols>
  <sheetData>
    <row r="1" spans="1:32" ht="25.5" customHeight="1" x14ac:dyDescent="0.3">
      <c r="A1" s="64" t="s">
        <v>509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</row>
    <row r="3" spans="1:32" ht="31.5" customHeight="1" x14ac:dyDescent="0.3">
      <c r="A3" s="23" t="s">
        <v>457</v>
      </c>
      <c r="B3" s="23" t="s">
        <v>458</v>
      </c>
      <c r="C3" s="23" t="s">
        <v>461</v>
      </c>
      <c r="D3" s="23" t="s">
        <v>97</v>
      </c>
      <c r="E3" s="23" t="s">
        <v>98</v>
      </c>
      <c r="F3" s="23" t="s">
        <v>94</v>
      </c>
      <c r="G3" s="23" t="s">
        <v>95</v>
      </c>
      <c r="H3" s="23" t="s">
        <v>96</v>
      </c>
      <c r="I3" s="23" t="s">
        <v>93</v>
      </c>
      <c r="J3" s="23" t="s">
        <v>510</v>
      </c>
      <c r="K3" s="23" t="s">
        <v>100</v>
      </c>
      <c r="L3" s="23" t="s">
        <v>489</v>
      </c>
      <c r="M3" s="23" t="s">
        <v>511</v>
      </c>
      <c r="N3" s="23" t="s">
        <v>512</v>
      </c>
      <c r="O3" s="23" t="s">
        <v>490</v>
      </c>
      <c r="P3" s="23" t="s">
        <v>491</v>
      </c>
      <c r="Q3" s="23" t="s">
        <v>492</v>
      </c>
      <c r="R3" s="23" t="s">
        <v>493</v>
      </c>
      <c r="S3" s="23" t="s">
        <v>513</v>
      </c>
      <c r="T3" s="23" t="s">
        <v>514</v>
      </c>
      <c r="U3" s="23" t="s">
        <v>515</v>
      </c>
      <c r="V3" s="23" t="s">
        <v>497</v>
      </c>
      <c r="W3" s="23" t="s">
        <v>516</v>
      </c>
      <c r="X3" s="23" t="s">
        <v>499</v>
      </c>
      <c r="Y3" s="23" t="s">
        <v>500</v>
      </c>
      <c r="Z3" s="23" t="s">
        <v>517</v>
      </c>
      <c r="AA3" s="23" t="s">
        <v>518</v>
      </c>
      <c r="AB3" s="23" t="s">
        <v>503</v>
      </c>
      <c r="AC3" s="23" t="s">
        <v>504</v>
      </c>
      <c r="AD3" s="23" t="s">
        <v>505</v>
      </c>
      <c r="AE3" s="23" t="s">
        <v>506</v>
      </c>
      <c r="AF3" s="23" t="s">
        <v>507</v>
      </c>
    </row>
    <row r="4" spans="1:32" ht="18" customHeight="1" x14ac:dyDescent="0.3">
      <c r="A4" s="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IRN24-0175</v>
      </c>
      <c r="B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Maasstraat - Dordrecht</v>
      </c>
      <c r="C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46405</v>
      </c>
      <c r="D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OidK</v>
      </c>
      <c r="F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A-Conditionerend</v>
      </c>
      <c r="G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Vervolgonderzoek</v>
      </c>
      <c r="H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Natura 2000 oriëntatie / voortoets</v>
      </c>
      <c r="I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A-VO-N2T</v>
      </c>
      <c r="J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5</v>
      </c>
      <c r="K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VO_Einde</v>
      </c>
      <c r="L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90</v>
      </c>
      <c r="M4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4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Michael Bechoe</v>
      </c>
      <c r="P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Ingediend</v>
      </c>
      <c r="Q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46136</v>
      </c>
      <c r="R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46279</v>
      </c>
      <c r="T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46272</v>
      </c>
      <c r="U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46143</v>
      </c>
      <c r="V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46269</v>
      </c>
      <c r="W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5</v>
      </c>
      <c r="X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JA</v>
      </c>
      <c r="Y4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4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4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4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46136.545972222222</v>
      </c>
      <c r="AF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gami</v>
      </c>
    </row>
    <row r="5" spans="1:32" ht="18" customHeight="1" x14ac:dyDescent="0.3">
      <c r="A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IRN24-0175</v>
      </c>
      <c r="B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Maasstraat - Dordrecht</v>
      </c>
      <c r="C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46405</v>
      </c>
      <c r="D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OidK</v>
      </c>
      <c r="F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B-Bodem</v>
      </c>
      <c r="G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Algemeen</v>
      </c>
      <c r="H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Bodemonderzoek CROW 400 — NG-OidK 2.O.8 (20wd)</v>
      </c>
      <c r="I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B-BOD-NG-O</v>
      </c>
      <c r="J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20</v>
      </c>
      <c r="K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Warme_Overdracht</v>
      </c>
      <c r="L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185</v>
      </c>
      <c r="M5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N5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Aannemer</v>
      </c>
      <c r="P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Ingediend</v>
      </c>
      <c r="Q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46122</v>
      </c>
      <c r="R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46146</v>
      </c>
      <c r="T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46118</v>
      </c>
      <c r="U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46150</v>
      </c>
      <c r="V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46409</v>
      </c>
      <c r="W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</v>
      </c>
      <c r="X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5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5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5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5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6" spans="1:32" ht="18" customHeight="1" x14ac:dyDescent="0.3">
      <c r="A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IRN24-0081</v>
      </c>
      <c r="B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Rozensingel Fase 2</v>
      </c>
      <c r="C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46258</v>
      </c>
      <c r="D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B-Bodem</v>
      </c>
      <c r="G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Algemeen</v>
      </c>
      <c r="H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Bodemonderzoek CROW 400 — NG-NOidK (20wd)</v>
      </c>
      <c r="I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B-BOD-NG-N</v>
      </c>
      <c r="J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20</v>
      </c>
      <c r="K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VO_Einde</v>
      </c>
      <c r="L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6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N6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Netbeheerder</v>
      </c>
      <c r="P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46118</v>
      </c>
      <c r="T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46090</v>
      </c>
      <c r="U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46164</v>
      </c>
      <c r="V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46304</v>
      </c>
      <c r="W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20</v>
      </c>
      <c r="X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6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6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6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6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7" spans="1:32" ht="18" customHeight="1" x14ac:dyDescent="0.3">
      <c r="A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IRN24-0081</v>
      </c>
      <c r="B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Rozensingel Fase 2</v>
      </c>
      <c r="C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46258</v>
      </c>
      <c r="D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C-Proefgaten</v>
      </c>
      <c r="G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Fase_gate</v>
      </c>
      <c r="H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Proefsleuven en bijzondere activiteiten — NG (50 wd)</v>
      </c>
      <c r="I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C-PS-NG-N</v>
      </c>
      <c r="J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50</v>
      </c>
      <c r="K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Proefsleuven_Einde</v>
      </c>
      <c r="L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7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N7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Aannemer</v>
      </c>
      <c r="P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46118</v>
      </c>
      <c r="T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46048</v>
      </c>
      <c r="U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46206</v>
      </c>
      <c r="V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46346</v>
      </c>
      <c r="W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50</v>
      </c>
      <c r="X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7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7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7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7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8" spans="1:32" ht="18" customHeight="1" x14ac:dyDescent="0.3">
      <c r="A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IRN24-0081</v>
      </c>
      <c r="B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Rozensingel Fase 2</v>
      </c>
      <c r="C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46258</v>
      </c>
      <c r="D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A-Conditionerend</v>
      </c>
      <c r="G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Quickscan</v>
      </c>
      <c r="H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Quickscan bodem en tracé</v>
      </c>
      <c r="I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A-QS-GEO</v>
      </c>
      <c r="J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</v>
      </c>
      <c r="K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VO_Einde</v>
      </c>
      <c r="L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8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8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Engineer</v>
      </c>
      <c r="P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46118</v>
      </c>
      <c r="T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46104</v>
      </c>
      <c r="U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46150</v>
      </c>
      <c r="V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46290</v>
      </c>
      <c r="W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</v>
      </c>
      <c r="X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8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8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8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8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9" spans="1:32" ht="18" customHeight="1" x14ac:dyDescent="0.3">
      <c r="A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IRN24-0081</v>
      </c>
      <c r="B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Rozensingel Fase 2</v>
      </c>
      <c r="C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46258</v>
      </c>
      <c r="D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H-Gate</v>
      </c>
      <c r="G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</v>
      </c>
      <c r="H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 goedgekeurd</v>
      </c>
      <c r="I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H-G-VO</v>
      </c>
      <c r="J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K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VO_Einde</v>
      </c>
      <c r="L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9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9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O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Netbeheerder</v>
      </c>
      <c r="P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46118</v>
      </c>
      <c r="T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46118</v>
      </c>
      <c r="U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46136</v>
      </c>
      <c r="V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46276</v>
      </c>
      <c r="W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X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9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9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9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AB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🔴</v>
      </c>
      <c r="AC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9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10" spans="1:32" ht="18" customHeight="1" x14ac:dyDescent="0.3">
      <c r="A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IRN24-0081</v>
      </c>
      <c r="B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Rozensingel Fase 2</v>
      </c>
      <c r="C1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46258</v>
      </c>
      <c r="D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H-Gate</v>
      </c>
      <c r="G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DO_dossier</v>
      </c>
      <c r="H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DO-dossier goedgekeurd — NG (15wd)</v>
      </c>
      <c r="I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H-G-DOD-NR</v>
      </c>
      <c r="J1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15</v>
      </c>
      <c r="K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DO_Dossier_Einde</v>
      </c>
      <c r="L1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75</v>
      </c>
      <c r="M10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10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O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Netbeheerder</v>
      </c>
      <c r="P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1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1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1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46153</v>
      </c>
      <c r="T1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46132</v>
      </c>
      <c r="U1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46157</v>
      </c>
      <c r="V1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46262</v>
      </c>
      <c r="W1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15</v>
      </c>
      <c r="X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10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10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10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1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1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1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10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1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11" spans="1:32" ht="18" customHeight="1" x14ac:dyDescent="0.3">
      <c r="A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IRN24-0134</v>
      </c>
      <c r="B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Honingerdijk</v>
      </c>
      <c r="C1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46265</v>
      </c>
      <c r="D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B-Bodem</v>
      </c>
      <c r="G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Algemeen</v>
      </c>
      <c r="H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Bodemonderzoek CROW 400 — KG-NOidK (10wd)</v>
      </c>
      <c r="I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B-BOD-KG-N</v>
      </c>
      <c r="J1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</v>
      </c>
      <c r="K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VO_Einde</v>
      </c>
      <c r="L1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11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N11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Netbeheerder</v>
      </c>
      <c r="P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1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1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1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46125</v>
      </c>
      <c r="T1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46111</v>
      </c>
      <c r="U1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46150</v>
      </c>
      <c r="V1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46290</v>
      </c>
      <c r="W1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</v>
      </c>
      <c r="X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11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11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11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1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1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11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46136.546493055554</v>
      </c>
      <c r="AF1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gami</v>
      </c>
    </row>
    <row r="12" spans="1:32" ht="18" customHeight="1" x14ac:dyDescent="0.3">
      <c r="A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IRN24-0134</v>
      </c>
      <c r="B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Honingerdijk</v>
      </c>
      <c r="C1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46265</v>
      </c>
      <c r="D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C-Proefgaten</v>
      </c>
      <c r="G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Fase_gate</v>
      </c>
      <c r="H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Proefsleuven en bijzondere activiteiten — NG (50 wd)</v>
      </c>
      <c r="I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C-PS-NG-N</v>
      </c>
      <c r="J1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50</v>
      </c>
      <c r="K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Proefsleuven_Einde</v>
      </c>
      <c r="L1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12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N12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Aannemer</v>
      </c>
      <c r="P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1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1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1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46125</v>
      </c>
      <c r="T1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46055</v>
      </c>
      <c r="U1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46206</v>
      </c>
      <c r="V1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46346</v>
      </c>
      <c r="W1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50</v>
      </c>
      <c r="X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12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12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12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1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1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1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12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1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13" spans="1:32" ht="18" customHeight="1" x14ac:dyDescent="0.3">
      <c r="A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IRN24-0134</v>
      </c>
      <c r="B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Honingerdijk</v>
      </c>
      <c r="C13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46265</v>
      </c>
      <c r="D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A-Conditionerend</v>
      </c>
      <c r="G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Quickscan</v>
      </c>
      <c r="H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Quickscan bodem en tracé</v>
      </c>
      <c r="I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A-QS-GEO</v>
      </c>
      <c r="J13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</v>
      </c>
      <c r="K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VO_Einde</v>
      </c>
      <c r="L13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13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13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Naomi Athab</v>
      </c>
      <c r="P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13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13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13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46125</v>
      </c>
      <c r="T13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46111</v>
      </c>
      <c r="U13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46150</v>
      </c>
      <c r="V13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46290</v>
      </c>
      <c r="W13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</v>
      </c>
      <c r="X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13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13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13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1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13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13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13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13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14" spans="1:32" ht="18" customHeight="1" x14ac:dyDescent="0.3">
      <c r="A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IRN24-0134</v>
      </c>
      <c r="B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Honingerdijk</v>
      </c>
      <c r="C1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46265</v>
      </c>
      <c r="D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H-Gate</v>
      </c>
      <c r="G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</v>
      </c>
      <c r="H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 goedgekeurd</v>
      </c>
      <c r="I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H-G-VO</v>
      </c>
      <c r="J1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K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VO_Einde</v>
      </c>
      <c r="L1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14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14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O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Netbeheerder</v>
      </c>
      <c r="P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1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1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1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46125</v>
      </c>
      <c r="T1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46125</v>
      </c>
      <c r="U1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46136</v>
      </c>
      <c r="V14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46276</v>
      </c>
      <c r="W1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X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14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14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14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AB1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🔴</v>
      </c>
      <c r="AC1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1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14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14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15" spans="1:32" ht="18" customHeight="1" x14ac:dyDescent="0.3">
      <c r="A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IRN24-0134</v>
      </c>
      <c r="B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Honingerdijk</v>
      </c>
      <c r="C1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46265</v>
      </c>
      <c r="D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H-Gate</v>
      </c>
      <c r="G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DO_dossier</v>
      </c>
      <c r="H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DO-dossier goedgekeurd — NG (15wd)</v>
      </c>
      <c r="I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H-G-DOD-NR</v>
      </c>
      <c r="J1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15</v>
      </c>
      <c r="K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DO_Dossier_Einde</v>
      </c>
      <c r="L1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75</v>
      </c>
      <c r="M15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15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O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Netbeheerder</v>
      </c>
      <c r="P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1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1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1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46160</v>
      </c>
      <c r="T1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46139</v>
      </c>
      <c r="U1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46157</v>
      </c>
      <c r="V15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46262</v>
      </c>
      <c r="W1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15</v>
      </c>
      <c r="X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JA</v>
      </c>
      <c r="Y15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15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15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1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1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1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15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1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16" spans="1:32" ht="18" customHeight="1" x14ac:dyDescent="0.3">
      <c r="A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IRN25-0031</v>
      </c>
      <c r="B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Molenstraat Schenkel</v>
      </c>
      <c r="C1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46223</v>
      </c>
      <c r="D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B-Bodem</v>
      </c>
      <c r="G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Algemeen</v>
      </c>
      <c r="H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Bodemonderzoek CROW 400 — NG-NOidK (20wd)</v>
      </c>
      <c r="I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B-BOD-NG-N</v>
      </c>
      <c r="J1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20</v>
      </c>
      <c r="K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VO_Einde</v>
      </c>
      <c r="L1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16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N16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Netbeheerder</v>
      </c>
      <c r="P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1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1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1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46083</v>
      </c>
      <c r="T1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46055</v>
      </c>
      <c r="U1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46164</v>
      </c>
      <c r="V16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46304</v>
      </c>
      <c r="W1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20</v>
      </c>
      <c r="X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16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16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16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1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1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1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16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16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17" spans="1:32" ht="18" customHeight="1" x14ac:dyDescent="0.3">
      <c r="A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IRN25-0031</v>
      </c>
      <c r="B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Molenstraat Schenkel</v>
      </c>
      <c r="C1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46223</v>
      </c>
      <c r="D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C-Proefgaten</v>
      </c>
      <c r="G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Fase_gate</v>
      </c>
      <c r="H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Proefsleuven en bijzondere activiteiten — NG (50 wd)</v>
      </c>
      <c r="I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C-PS-NG-N</v>
      </c>
      <c r="J1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50</v>
      </c>
      <c r="K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Proefsleuven_Einde</v>
      </c>
      <c r="L1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17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N17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Aannemer</v>
      </c>
      <c r="P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1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1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1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46083</v>
      </c>
      <c r="T1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46013</v>
      </c>
      <c r="U1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46206</v>
      </c>
      <c r="V17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46346</v>
      </c>
      <c r="W1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50</v>
      </c>
      <c r="X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17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17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17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1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1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1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17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17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18" spans="1:32" ht="18" customHeight="1" x14ac:dyDescent="0.3">
      <c r="A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IRN25-0031</v>
      </c>
      <c r="B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Molenstraat Schenkel</v>
      </c>
      <c r="C1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46223</v>
      </c>
      <c r="D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A-Conditionerend</v>
      </c>
      <c r="G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Quickscan</v>
      </c>
      <c r="H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Quickscan bodem en tracé</v>
      </c>
      <c r="I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A-QS-GEO</v>
      </c>
      <c r="J1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</v>
      </c>
      <c r="K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VO_Einde</v>
      </c>
      <c r="L1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18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18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Engineer</v>
      </c>
      <c r="P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1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1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1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46083</v>
      </c>
      <c r="T1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46069</v>
      </c>
      <c r="U1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46150</v>
      </c>
      <c r="V18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46290</v>
      </c>
      <c r="W1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</v>
      </c>
      <c r="X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18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18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18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1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1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1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18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18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19" spans="1:32" ht="18" customHeight="1" x14ac:dyDescent="0.3">
      <c r="A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IRN25-0031</v>
      </c>
      <c r="B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Molenstraat Schenkel</v>
      </c>
      <c r="C1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46223</v>
      </c>
      <c r="D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H-Gate</v>
      </c>
      <c r="G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</v>
      </c>
      <c r="H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 goedgekeurd</v>
      </c>
      <c r="I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H-G-VO</v>
      </c>
      <c r="J1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K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VO_Einde</v>
      </c>
      <c r="L1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100</v>
      </c>
      <c r="M19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19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O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Netbeheerder</v>
      </c>
      <c r="P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1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1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1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46083</v>
      </c>
      <c r="T1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46083</v>
      </c>
      <c r="U1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46136</v>
      </c>
      <c r="V19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46276</v>
      </c>
      <c r="W1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X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19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19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19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AB1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🔴</v>
      </c>
      <c r="AC1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1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19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19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20" spans="1:32" ht="18" customHeight="1" x14ac:dyDescent="0.3">
      <c r="A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IRN25-0031</v>
      </c>
      <c r="B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Molenstraat Schenkel</v>
      </c>
      <c r="C2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46223</v>
      </c>
      <c r="D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H-Gate</v>
      </c>
      <c r="G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</v>
      </c>
      <c r="H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 getekend beide NB</v>
      </c>
      <c r="I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H-G-DO</v>
      </c>
      <c r="J2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K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DO_Einde</v>
      </c>
      <c r="L2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75</v>
      </c>
      <c r="M20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20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O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Netbeheerder</v>
      </c>
      <c r="P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2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2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2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46118</v>
      </c>
      <c r="T2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46118</v>
      </c>
      <c r="U2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46136</v>
      </c>
      <c r="V20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46241</v>
      </c>
      <c r="W2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X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20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20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20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AB2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🔴</v>
      </c>
      <c r="AC2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2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20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2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21" spans="1:32" ht="18" customHeight="1" x14ac:dyDescent="0.3">
      <c r="A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IRN25-0031</v>
      </c>
      <c r="B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Molenstraat Schenkel</v>
      </c>
      <c r="C2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46223</v>
      </c>
      <c r="D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H-Gate</v>
      </c>
      <c r="G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DO_dossier</v>
      </c>
      <c r="H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DO-dossier goedgekeurd — NG (15wd)</v>
      </c>
      <c r="I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H-G-DOD-NR</v>
      </c>
      <c r="J2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15</v>
      </c>
      <c r="K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DO_Dossier_Einde</v>
      </c>
      <c r="L2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75</v>
      </c>
      <c r="M21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N21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O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Netbeheerder</v>
      </c>
      <c r="P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2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2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2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46118</v>
      </c>
      <c r="T2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46097</v>
      </c>
      <c r="U2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46157</v>
      </c>
      <c r="V21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46262</v>
      </c>
      <c r="W2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15</v>
      </c>
      <c r="X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21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21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21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AB2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🔴</v>
      </c>
      <c r="AC2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2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21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21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22" spans="1:32" ht="18" customHeight="1" x14ac:dyDescent="0.3">
      <c r="A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IRN25-0031</v>
      </c>
      <c r="B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Molenstraat Schenkel</v>
      </c>
      <c r="C2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46223</v>
      </c>
      <c r="D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Netgedreven</v>
      </c>
      <c r="E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NOidK</v>
      </c>
      <c r="F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E-Vergunning</v>
      </c>
      <c r="G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Algemeen</v>
      </c>
      <c r="H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Zakelijk recht, ligvergunning, asset- en omgevingsvergunning (3.1.2)</v>
      </c>
      <c r="I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E-VG-ZRO</v>
      </c>
      <c r="J2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40</v>
      </c>
      <c r="K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Vergunning_Einde</v>
      </c>
      <c r="L2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25</v>
      </c>
      <c r="M22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N22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O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Grondzaken Stedin</v>
      </c>
      <c r="P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Nodig</v>
      </c>
      <c r="Q2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R2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S2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46188</v>
      </c>
      <c r="T2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46132</v>
      </c>
      <c r="U2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46192</v>
      </c>
      <c r="V22" s="40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46227</v>
      </c>
      <c r="W2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40</v>
      </c>
      <c r="X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KRAP</v>
      </c>
      <c r="Y22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1</v>
      </c>
      <c r="Z22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A22" t="b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B2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🟠</v>
      </c>
      <c r="AC2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D2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E22" s="25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  <c r="AF22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>0</v>
      </c>
    </row>
    <row r="23" spans="1:32" ht="18" customHeight="1" x14ac:dyDescent="0.3">
      <c r="A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2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2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2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2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2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2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2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23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2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24" spans="1:32" ht="18" customHeight="1" x14ac:dyDescent="0.3">
      <c r="A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2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2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2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2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2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2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2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24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2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25" spans="1:32" ht="18" customHeight="1" x14ac:dyDescent="0.3">
      <c r="A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2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2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2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2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2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2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2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25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26" spans="1:32" ht="18" customHeight="1" x14ac:dyDescent="0.3">
      <c r="A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2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2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2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2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2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2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2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26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2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27" spans="1:32" ht="18" customHeight="1" x14ac:dyDescent="0.3">
      <c r="A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2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2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2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2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2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2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2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27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2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28" spans="1:32" ht="18" customHeight="1" x14ac:dyDescent="0.3">
      <c r="A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2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2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2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2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2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2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2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28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2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29" spans="1:32" ht="18" customHeight="1" x14ac:dyDescent="0.3">
      <c r="A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2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2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2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2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2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2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2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29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2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30" spans="1:32" ht="18" customHeight="1" x14ac:dyDescent="0.3">
      <c r="A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3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3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3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3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3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3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3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30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3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31" spans="1:32" ht="18" customHeight="1" x14ac:dyDescent="0.3">
      <c r="A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3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3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3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3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3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3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3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31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3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32" spans="1:32" ht="18" customHeight="1" x14ac:dyDescent="0.3">
      <c r="A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3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3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3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3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3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3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3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32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3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33" spans="1:32" ht="18" customHeight="1" x14ac:dyDescent="0.3">
      <c r="A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3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3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3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3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3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3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3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33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3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34" spans="1:32" ht="18" customHeight="1" x14ac:dyDescent="0.3">
      <c r="A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3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3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3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3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3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3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3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34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3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35" spans="1:32" ht="18" customHeight="1" x14ac:dyDescent="0.3">
      <c r="A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3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3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3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3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3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3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3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35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3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36" spans="1:32" ht="18" customHeight="1" x14ac:dyDescent="0.3">
      <c r="A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3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3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3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3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3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3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3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36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3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37" spans="1:32" ht="18" customHeight="1" x14ac:dyDescent="0.3">
      <c r="A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3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3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3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3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3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3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3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37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3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38" spans="1:32" ht="18" customHeight="1" x14ac:dyDescent="0.3">
      <c r="A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3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3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3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3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3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3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3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38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3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39" spans="1:32" ht="18" customHeight="1" x14ac:dyDescent="0.3">
      <c r="A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3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3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3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3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3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3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3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39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3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40" spans="1:32" ht="18" customHeight="1" x14ac:dyDescent="0.3">
      <c r="A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4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4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4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4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4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4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4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40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41" spans="1:32" ht="18" customHeight="1" x14ac:dyDescent="0.3">
      <c r="A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4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4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4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4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4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4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41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41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41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42" spans="1:32" ht="18" customHeight="1" x14ac:dyDescent="0.3">
      <c r="A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4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4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4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4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4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4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42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42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42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43" spans="1:32" ht="18" customHeight="1" x14ac:dyDescent="0.3">
      <c r="A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4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4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4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4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4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4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43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43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43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44" spans="1:32" ht="18" customHeight="1" x14ac:dyDescent="0.3">
      <c r="A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4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4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4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4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4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4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44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44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44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45" spans="1:32" ht="18" customHeight="1" x14ac:dyDescent="0.3">
      <c r="A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4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4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4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4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4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4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45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45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4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46" spans="1:32" ht="18" customHeight="1" x14ac:dyDescent="0.3">
      <c r="A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4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4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4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4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4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4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46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46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46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47" spans="1:32" ht="18" customHeight="1" x14ac:dyDescent="0.3">
      <c r="A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4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4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4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4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4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4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47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47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47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48" spans="1:32" ht="18" customHeight="1" x14ac:dyDescent="0.3">
      <c r="A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4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4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4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4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4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4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48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48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48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49" spans="1:32" ht="18" customHeight="1" x14ac:dyDescent="0.3">
      <c r="A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4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4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4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4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4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4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49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49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49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50" spans="1:32" ht="18" customHeight="1" x14ac:dyDescent="0.3">
      <c r="A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B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C5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D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E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F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G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H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I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J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K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L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M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N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O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P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Q5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R5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S5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T5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U5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V50" s="4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W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X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Y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Z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A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B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C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D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E50" s="25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  <c r="AF50" t="str">
        <f ca="1">IFERROR(INDEX(_xlfn._xlws.FILTER(Dashboard_Engineer!A4:AF200,(Dashboard_Engineer!Y4:Y200=TRUE())+(Dashboard_Engineer!Z4:Z200=TRUE())+(Dashboard_Engineer!AA4:AA200=TRUE())+IFERROR((Dashboard_Engineer!W4:W200&lt;0)*ISNUMBER(Dashboard_Engineer!W4:W200),0)&gt;0),ROW()-3,COLUMN()),IF(AND(ROW()=4,COLUMN()=1),"Geen vertragingen of showstoppers",""))</f>
        <v/>
      </c>
    </row>
    <row r="51" spans="1:32" ht="18" customHeight="1" x14ac:dyDescent="0.3">
      <c r="C51" s="40"/>
      <c r="Q51" s="40"/>
      <c r="R51" s="40"/>
      <c r="S51" s="40"/>
      <c r="T51" s="40"/>
      <c r="U51" s="40"/>
      <c r="V51" s="40"/>
      <c r="AE51" s="25"/>
    </row>
    <row r="52" spans="1:32" ht="18" customHeight="1" x14ac:dyDescent="0.3">
      <c r="C52" s="40"/>
      <c r="Q52" s="40"/>
      <c r="R52" s="40"/>
      <c r="S52" s="40"/>
      <c r="T52" s="40"/>
      <c r="U52" s="40"/>
      <c r="V52" s="40"/>
      <c r="AE52" s="25"/>
    </row>
    <row r="53" spans="1:32" ht="18" customHeight="1" x14ac:dyDescent="0.3">
      <c r="C53" s="40"/>
      <c r="Q53" s="40"/>
      <c r="R53" s="40"/>
      <c r="S53" s="40"/>
      <c r="T53" s="40"/>
      <c r="U53" s="40"/>
      <c r="V53" s="40"/>
      <c r="AE53" s="25"/>
    </row>
    <row r="54" spans="1:32" ht="18" customHeight="1" x14ac:dyDescent="0.3">
      <c r="C54" s="40"/>
      <c r="Q54" s="40"/>
      <c r="R54" s="40"/>
      <c r="S54" s="40"/>
      <c r="T54" s="40"/>
      <c r="U54" s="40"/>
      <c r="V54" s="40"/>
      <c r="AE54" s="25"/>
    </row>
    <row r="55" spans="1:32" ht="18" customHeight="1" x14ac:dyDescent="0.3">
      <c r="C55" s="40"/>
      <c r="Q55" s="40"/>
      <c r="R55" s="40"/>
      <c r="S55" s="40"/>
      <c r="T55" s="40"/>
      <c r="U55" s="40"/>
      <c r="V55" s="40"/>
      <c r="AE55" s="25"/>
    </row>
    <row r="56" spans="1:32" ht="18" customHeight="1" x14ac:dyDescent="0.3">
      <c r="C56" s="40"/>
      <c r="Q56" s="40"/>
      <c r="R56" s="40"/>
      <c r="S56" s="40"/>
      <c r="T56" s="40"/>
      <c r="U56" s="40"/>
      <c r="V56" s="40"/>
      <c r="AE56" s="25"/>
    </row>
    <row r="57" spans="1:32" ht="18" customHeight="1" x14ac:dyDescent="0.3">
      <c r="C57" s="40"/>
      <c r="Q57" s="40"/>
      <c r="R57" s="40"/>
      <c r="S57" s="40"/>
      <c r="T57" s="40"/>
      <c r="U57" s="40"/>
      <c r="V57" s="40"/>
      <c r="AE57" s="25"/>
    </row>
    <row r="58" spans="1:32" ht="18" customHeight="1" x14ac:dyDescent="0.3">
      <c r="C58" s="40"/>
      <c r="Q58" s="40"/>
      <c r="R58" s="40"/>
      <c r="S58" s="40"/>
      <c r="T58" s="40"/>
      <c r="U58" s="40"/>
      <c r="V58" s="40"/>
      <c r="AE58" s="25"/>
    </row>
    <row r="59" spans="1:32" ht="18" customHeight="1" x14ac:dyDescent="0.3">
      <c r="C59" s="40"/>
      <c r="Q59" s="40"/>
      <c r="R59" s="40"/>
      <c r="S59" s="40"/>
      <c r="T59" s="40"/>
      <c r="U59" s="40"/>
      <c r="V59" s="40"/>
      <c r="AE59" s="25"/>
    </row>
    <row r="60" spans="1:32" ht="18" customHeight="1" x14ac:dyDescent="0.3">
      <c r="C60" s="40"/>
      <c r="Q60" s="40"/>
      <c r="R60" s="40"/>
      <c r="S60" s="40"/>
      <c r="T60" s="40"/>
      <c r="U60" s="40"/>
      <c r="V60" s="40"/>
      <c r="AE60" s="25"/>
    </row>
    <row r="61" spans="1:32" ht="18" customHeight="1" x14ac:dyDescent="0.3">
      <c r="C61" s="40"/>
      <c r="Q61" s="40"/>
      <c r="R61" s="40"/>
      <c r="S61" s="40"/>
      <c r="T61" s="40"/>
      <c r="U61" s="40"/>
      <c r="V61" s="40"/>
      <c r="AE61" s="25"/>
    </row>
    <row r="62" spans="1:32" ht="18" customHeight="1" x14ac:dyDescent="0.3">
      <c r="C62" s="40"/>
      <c r="Q62" s="40"/>
      <c r="R62" s="40"/>
      <c r="S62" s="40"/>
      <c r="T62" s="40"/>
      <c r="U62" s="40"/>
      <c r="V62" s="40"/>
      <c r="AE62" s="25"/>
    </row>
    <row r="63" spans="1:32" ht="18" customHeight="1" x14ac:dyDescent="0.3">
      <c r="C63" s="40"/>
      <c r="Q63" s="40"/>
      <c r="R63" s="40"/>
      <c r="S63" s="40"/>
      <c r="T63" s="40"/>
      <c r="U63" s="40"/>
      <c r="V63" s="40"/>
      <c r="AE63" s="25"/>
    </row>
    <row r="64" spans="1:32" ht="18" customHeight="1" x14ac:dyDescent="0.3">
      <c r="C64" s="40"/>
      <c r="Q64" s="40"/>
      <c r="R64" s="40"/>
      <c r="S64" s="40"/>
      <c r="T64" s="40"/>
      <c r="U64" s="40"/>
      <c r="V64" s="40"/>
      <c r="AE64" s="25"/>
    </row>
    <row r="65" spans="3:31" ht="18" customHeight="1" x14ac:dyDescent="0.3">
      <c r="C65" s="40"/>
      <c r="Q65" s="40"/>
      <c r="R65" s="40"/>
      <c r="S65" s="40"/>
      <c r="T65" s="40"/>
      <c r="U65" s="40"/>
      <c r="V65" s="40"/>
      <c r="AE65" s="25"/>
    </row>
    <row r="66" spans="3:31" ht="18" customHeight="1" x14ac:dyDescent="0.3">
      <c r="C66" s="40"/>
      <c r="Q66" s="40"/>
      <c r="R66" s="40"/>
      <c r="S66" s="40"/>
      <c r="T66" s="40"/>
      <c r="U66" s="40"/>
      <c r="V66" s="40"/>
      <c r="AE66" s="25"/>
    </row>
    <row r="67" spans="3:31" ht="18" customHeight="1" x14ac:dyDescent="0.3">
      <c r="C67" s="40"/>
      <c r="Q67" s="40"/>
      <c r="R67" s="40"/>
      <c r="S67" s="40"/>
      <c r="T67" s="40"/>
      <c r="U67" s="40"/>
      <c r="V67" s="40"/>
      <c r="AE67" s="25"/>
    </row>
    <row r="68" spans="3:31" ht="18" customHeight="1" x14ac:dyDescent="0.3">
      <c r="C68" s="40"/>
      <c r="Q68" s="40"/>
      <c r="R68" s="40"/>
      <c r="S68" s="40"/>
      <c r="T68" s="40"/>
      <c r="U68" s="40"/>
      <c r="V68" s="40"/>
      <c r="AE68" s="25"/>
    </row>
    <row r="69" spans="3:31" ht="18" customHeight="1" x14ac:dyDescent="0.3">
      <c r="C69" s="40"/>
      <c r="Q69" s="40"/>
      <c r="R69" s="40"/>
      <c r="S69" s="40"/>
      <c r="T69" s="40"/>
      <c r="U69" s="40"/>
      <c r="V69" s="40"/>
      <c r="AE69" s="25"/>
    </row>
    <row r="70" spans="3:31" ht="18" customHeight="1" x14ac:dyDescent="0.3">
      <c r="C70" s="40"/>
      <c r="Q70" s="40"/>
      <c r="R70" s="40"/>
      <c r="S70" s="40"/>
      <c r="T70" s="40"/>
      <c r="U70" s="40"/>
      <c r="V70" s="40"/>
      <c r="AE70" s="25"/>
    </row>
    <row r="71" spans="3:31" ht="18" customHeight="1" x14ac:dyDescent="0.3">
      <c r="C71" s="40"/>
      <c r="Q71" s="40"/>
      <c r="R71" s="40"/>
      <c r="S71" s="40"/>
      <c r="T71" s="40"/>
      <c r="U71" s="40"/>
      <c r="V71" s="40"/>
      <c r="AE71" s="25"/>
    </row>
    <row r="72" spans="3:31" ht="18" customHeight="1" x14ac:dyDescent="0.3">
      <c r="C72" s="40"/>
      <c r="Q72" s="40"/>
      <c r="R72" s="40"/>
      <c r="S72" s="40"/>
      <c r="T72" s="40"/>
      <c r="U72" s="40"/>
      <c r="V72" s="40"/>
      <c r="AE72" s="25"/>
    </row>
    <row r="73" spans="3:31" ht="18" customHeight="1" x14ac:dyDescent="0.3">
      <c r="C73" s="40"/>
      <c r="Q73" s="40"/>
      <c r="R73" s="40"/>
      <c r="S73" s="40"/>
      <c r="T73" s="40"/>
      <c r="U73" s="40"/>
      <c r="V73" s="40"/>
      <c r="AE73" s="25"/>
    </row>
    <row r="74" spans="3:31" ht="18" customHeight="1" x14ac:dyDescent="0.3">
      <c r="C74" s="40"/>
      <c r="Q74" s="40"/>
      <c r="R74" s="40"/>
      <c r="S74" s="40"/>
      <c r="T74" s="40"/>
      <c r="U74" s="40"/>
      <c r="V74" s="40"/>
      <c r="AE74" s="25"/>
    </row>
    <row r="75" spans="3:31" ht="18" customHeight="1" x14ac:dyDescent="0.3">
      <c r="C75" s="40"/>
      <c r="Q75" s="40"/>
      <c r="R75" s="40"/>
      <c r="S75" s="40"/>
      <c r="T75" s="40"/>
      <c r="U75" s="40"/>
      <c r="V75" s="40"/>
      <c r="AE75" s="25"/>
    </row>
    <row r="76" spans="3:31" ht="18" customHeight="1" x14ac:dyDescent="0.3">
      <c r="C76" s="40"/>
      <c r="Q76" s="40"/>
      <c r="R76" s="40"/>
      <c r="S76" s="40"/>
      <c r="T76" s="40"/>
      <c r="U76" s="40"/>
      <c r="V76" s="40"/>
      <c r="AE76" s="25"/>
    </row>
    <row r="77" spans="3:31" ht="18" customHeight="1" x14ac:dyDescent="0.3">
      <c r="C77" s="40"/>
      <c r="Q77" s="40"/>
      <c r="R77" s="40"/>
      <c r="S77" s="40"/>
      <c r="T77" s="40"/>
      <c r="U77" s="40"/>
      <c r="V77" s="40"/>
      <c r="AE77" s="25"/>
    </row>
    <row r="78" spans="3:31" ht="18" customHeight="1" x14ac:dyDescent="0.3">
      <c r="C78" s="40"/>
      <c r="Q78" s="40"/>
      <c r="R78" s="40"/>
      <c r="S78" s="40"/>
      <c r="T78" s="40"/>
      <c r="U78" s="40"/>
      <c r="V78" s="40"/>
      <c r="AE78" s="25"/>
    </row>
    <row r="79" spans="3:31" ht="18" customHeight="1" x14ac:dyDescent="0.3">
      <c r="C79" s="40"/>
      <c r="Q79" s="40"/>
      <c r="R79" s="40"/>
      <c r="S79" s="40"/>
      <c r="T79" s="40"/>
      <c r="U79" s="40"/>
      <c r="V79" s="40"/>
      <c r="AE79" s="25"/>
    </row>
    <row r="80" spans="3:31" ht="18" customHeight="1" x14ac:dyDescent="0.3">
      <c r="C80" s="40"/>
      <c r="Q80" s="40"/>
      <c r="R80" s="40"/>
      <c r="S80" s="40"/>
      <c r="T80" s="40"/>
      <c r="U80" s="40"/>
      <c r="V80" s="40"/>
      <c r="AE80" s="25"/>
    </row>
    <row r="81" spans="3:31" ht="18" customHeight="1" x14ac:dyDescent="0.3">
      <c r="C81" s="40"/>
      <c r="Q81" s="40"/>
      <c r="R81" s="40"/>
      <c r="S81" s="40"/>
      <c r="T81" s="40"/>
      <c r="U81" s="40"/>
      <c r="V81" s="40"/>
      <c r="AE81" s="25"/>
    </row>
    <row r="82" spans="3:31" ht="18" customHeight="1" x14ac:dyDescent="0.3">
      <c r="C82" s="40"/>
      <c r="Q82" s="40"/>
      <c r="R82" s="40"/>
      <c r="S82" s="40"/>
      <c r="T82" s="40"/>
      <c r="U82" s="40"/>
      <c r="V82" s="40"/>
      <c r="AE82" s="25"/>
    </row>
    <row r="83" spans="3:31" ht="18" customHeight="1" x14ac:dyDescent="0.3">
      <c r="C83" s="40"/>
      <c r="Q83" s="40"/>
      <c r="R83" s="40"/>
      <c r="S83" s="40"/>
      <c r="T83" s="40"/>
      <c r="U83" s="40"/>
      <c r="V83" s="40"/>
      <c r="AE83" s="25"/>
    </row>
    <row r="84" spans="3:31" ht="18" customHeight="1" x14ac:dyDescent="0.3">
      <c r="C84" s="40"/>
      <c r="Q84" s="40"/>
      <c r="R84" s="40"/>
      <c r="S84" s="40"/>
      <c r="T84" s="40"/>
      <c r="U84" s="40"/>
      <c r="V84" s="40"/>
      <c r="AE84" s="25"/>
    </row>
    <row r="85" spans="3:31" ht="18" customHeight="1" x14ac:dyDescent="0.3">
      <c r="C85" s="40"/>
      <c r="Q85" s="40"/>
      <c r="R85" s="40"/>
      <c r="S85" s="40"/>
      <c r="T85" s="40"/>
      <c r="U85" s="40"/>
      <c r="V85" s="40"/>
      <c r="AE85" s="25"/>
    </row>
    <row r="86" spans="3:31" ht="18" customHeight="1" x14ac:dyDescent="0.3">
      <c r="C86" s="40"/>
      <c r="Q86" s="40"/>
      <c r="R86" s="40"/>
      <c r="S86" s="40"/>
      <c r="T86" s="40"/>
      <c r="U86" s="40"/>
      <c r="V86" s="40"/>
      <c r="AE86" s="25"/>
    </row>
    <row r="87" spans="3:31" ht="18" customHeight="1" x14ac:dyDescent="0.3">
      <c r="C87" s="40"/>
      <c r="Q87" s="40"/>
      <c r="R87" s="40"/>
      <c r="S87" s="40"/>
      <c r="T87" s="40"/>
      <c r="U87" s="40"/>
      <c r="V87" s="40"/>
      <c r="AE87" s="25"/>
    </row>
    <row r="88" spans="3:31" ht="18" customHeight="1" x14ac:dyDescent="0.3">
      <c r="C88" s="40"/>
      <c r="Q88" s="40"/>
      <c r="R88" s="40"/>
      <c r="S88" s="40"/>
      <c r="T88" s="40"/>
      <c r="U88" s="40"/>
      <c r="V88" s="40"/>
      <c r="AE88" s="25"/>
    </row>
    <row r="89" spans="3:31" ht="18" customHeight="1" x14ac:dyDescent="0.3">
      <c r="C89" s="40"/>
      <c r="Q89" s="40"/>
      <c r="R89" s="40"/>
      <c r="S89" s="40"/>
      <c r="T89" s="40"/>
      <c r="U89" s="40"/>
      <c r="V89" s="40"/>
      <c r="AE89" s="25"/>
    </row>
    <row r="90" spans="3:31" ht="18" customHeight="1" x14ac:dyDescent="0.3">
      <c r="C90" s="40"/>
      <c r="Q90" s="40"/>
      <c r="R90" s="40"/>
      <c r="S90" s="40"/>
      <c r="T90" s="40"/>
      <c r="U90" s="40"/>
      <c r="V90" s="40"/>
      <c r="AE90" s="25"/>
    </row>
    <row r="91" spans="3:31" ht="18" customHeight="1" x14ac:dyDescent="0.3">
      <c r="C91" s="40"/>
      <c r="Q91" s="40"/>
      <c r="R91" s="40"/>
      <c r="S91" s="40"/>
      <c r="T91" s="40"/>
      <c r="U91" s="40"/>
      <c r="V91" s="40"/>
      <c r="AE91" s="25"/>
    </row>
    <row r="92" spans="3:31" ht="18" customHeight="1" x14ac:dyDescent="0.3">
      <c r="C92" s="40"/>
      <c r="Q92" s="40"/>
      <c r="R92" s="40"/>
      <c r="S92" s="40"/>
      <c r="T92" s="40"/>
      <c r="U92" s="40"/>
      <c r="V92" s="40"/>
      <c r="AE92" s="25"/>
    </row>
    <row r="93" spans="3:31" ht="18" customHeight="1" x14ac:dyDescent="0.3">
      <c r="C93" s="40"/>
      <c r="Q93" s="40"/>
      <c r="R93" s="40"/>
      <c r="S93" s="40"/>
      <c r="T93" s="40"/>
      <c r="U93" s="40"/>
      <c r="V93" s="40"/>
      <c r="AE93" s="25"/>
    </row>
    <row r="94" spans="3:31" ht="18" customHeight="1" x14ac:dyDescent="0.3">
      <c r="C94" s="40"/>
      <c r="Q94" s="40"/>
      <c r="R94" s="40"/>
      <c r="S94" s="40"/>
      <c r="T94" s="40"/>
      <c r="U94" s="40"/>
      <c r="V94" s="40"/>
      <c r="AE94" s="25"/>
    </row>
    <row r="95" spans="3:31" ht="18" customHeight="1" x14ac:dyDescent="0.3">
      <c r="C95" s="40"/>
      <c r="Q95" s="40"/>
      <c r="R95" s="40"/>
      <c r="S95" s="40"/>
      <c r="T95" s="40"/>
      <c r="U95" s="40"/>
      <c r="V95" s="40"/>
      <c r="AE95" s="25"/>
    </row>
    <row r="96" spans="3:31" ht="18" customHeight="1" x14ac:dyDescent="0.3">
      <c r="C96" s="40"/>
      <c r="Q96" s="40"/>
      <c r="R96" s="40"/>
      <c r="S96" s="40"/>
      <c r="T96" s="40"/>
      <c r="U96" s="40"/>
      <c r="V96" s="40"/>
      <c r="AE96" s="25"/>
    </row>
    <row r="97" spans="3:31" ht="18" customHeight="1" x14ac:dyDescent="0.3">
      <c r="C97" s="40"/>
      <c r="Q97" s="40"/>
      <c r="R97" s="40"/>
      <c r="S97" s="40"/>
      <c r="T97" s="40"/>
      <c r="U97" s="40"/>
      <c r="V97" s="40"/>
      <c r="AE97" s="25"/>
    </row>
    <row r="98" spans="3:31" ht="18" customHeight="1" x14ac:dyDescent="0.3">
      <c r="C98" s="40"/>
      <c r="Q98" s="40"/>
      <c r="R98" s="40"/>
      <c r="S98" s="40"/>
      <c r="T98" s="40"/>
      <c r="U98" s="40"/>
      <c r="V98" s="40"/>
      <c r="AE98" s="25"/>
    </row>
    <row r="99" spans="3:31" ht="18" customHeight="1" x14ac:dyDescent="0.3">
      <c r="C99" s="40"/>
      <c r="Q99" s="40"/>
      <c r="R99" s="40"/>
      <c r="S99" s="40"/>
      <c r="T99" s="40"/>
      <c r="U99" s="40"/>
      <c r="V99" s="40"/>
      <c r="AE99" s="25"/>
    </row>
    <row r="100" spans="3:31" ht="18" customHeight="1" x14ac:dyDescent="0.3">
      <c r="C100" s="40"/>
      <c r="Q100" s="40"/>
      <c r="R100" s="40"/>
      <c r="S100" s="40"/>
      <c r="T100" s="40"/>
      <c r="U100" s="40"/>
      <c r="V100" s="40"/>
      <c r="AE100" s="25"/>
    </row>
    <row r="101" spans="3:31" ht="18" customHeight="1" x14ac:dyDescent="0.3">
      <c r="C101" s="40"/>
      <c r="Q101" s="40"/>
      <c r="R101" s="40"/>
      <c r="S101" s="40"/>
      <c r="T101" s="40"/>
      <c r="U101" s="40"/>
      <c r="V101" s="40"/>
      <c r="AE101" s="25"/>
    </row>
    <row r="102" spans="3:31" ht="18" customHeight="1" x14ac:dyDescent="0.3">
      <c r="C102" s="40"/>
      <c r="Q102" s="40"/>
      <c r="R102" s="40"/>
      <c r="S102" s="40"/>
      <c r="T102" s="40"/>
      <c r="U102" s="40"/>
      <c r="V102" s="40"/>
      <c r="AE102" s="25"/>
    </row>
    <row r="103" spans="3:31" ht="18" customHeight="1" x14ac:dyDescent="0.3">
      <c r="C103" s="40"/>
      <c r="Q103" s="40"/>
      <c r="R103" s="40"/>
      <c r="S103" s="40"/>
      <c r="T103" s="40"/>
      <c r="U103" s="40"/>
      <c r="V103" s="40"/>
      <c r="AE103" s="25"/>
    </row>
    <row r="104" spans="3:31" ht="18" customHeight="1" x14ac:dyDescent="0.3">
      <c r="C104" s="40"/>
      <c r="Q104" s="40"/>
      <c r="R104" s="40"/>
      <c r="S104" s="40"/>
      <c r="T104" s="40"/>
      <c r="U104" s="40"/>
      <c r="V104" s="40"/>
      <c r="AE104" s="25"/>
    </row>
    <row r="105" spans="3:31" ht="18" customHeight="1" x14ac:dyDescent="0.3">
      <c r="C105" s="40"/>
      <c r="Q105" s="40"/>
      <c r="R105" s="40"/>
      <c r="S105" s="40"/>
      <c r="T105" s="40"/>
      <c r="U105" s="40"/>
      <c r="V105" s="40"/>
      <c r="AE105" s="25"/>
    </row>
    <row r="106" spans="3:31" ht="18" customHeight="1" x14ac:dyDescent="0.3">
      <c r="C106" s="40"/>
      <c r="Q106" s="40"/>
      <c r="R106" s="40"/>
      <c r="S106" s="40"/>
      <c r="T106" s="40"/>
      <c r="U106" s="40"/>
      <c r="V106" s="40"/>
      <c r="AE106" s="25"/>
    </row>
    <row r="107" spans="3:31" ht="18" customHeight="1" x14ac:dyDescent="0.3">
      <c r="C107" s="40"/>
      <c r="Q107" s="40"/>
      <c r="R107" s="40"/>
      <c r="S107" s="40"/>
      <c r="T107" s="40"/>
      <c r="U107" s="40"/>
      <c r="V107" s="40"/>
      <c r="AE107" s="25"/>
    </row>
    <row r="108" spans="3:31" ht="18" customHeight="1" x14ac:dyDescent="0.3">
      <c r="C108" s="40"/>
      <c r="Q108" s="40"/>
      <c r="R108" s="40"/>
      <c r="S108" s="40"/>
      <c r="T108" s="40"/>
      <c r="U108" s="40"/>
      <c r="V108" s="40"/>
      <c r="AE108" s="25"/>
    </row>
    <row r="109" spans="3:31" ht="18" customHeight="1" x14ac:dyDescent="0.3">
      <c r="C109" s="40"/>
      <c r="Q109" s="40"/>
      <c r="R109" s="40"/>
      <c r="S109" s="40"/>
      <c r="T109" s="40"/>
      <c r="U109" s="40"/>
      <c r="V109" s="40"/>
      <c r="AE109" s="25"/>
    </row>
    <row r="110" spans="3:31" ht="18" customHeight="1" x14ac:dyDescent="0.3">
      <c r="C110" s="40"/>
      <c r="Q110" s="40"/>
      <c r="R110" s="40"/>
      <c r="S110" s="40"/>
      <c r="T110" s="40"/>
      <c r="U110" s="40"/>
      <c r="V110" s="40"/>
      <c r="AE110" s="25"/>
    </row>
    <row r="111" spans="3:31" ht="18" customHeight="1" x14ac:dyDescent="0.3">
      <c r="C111" s="40"/>
      <c r="Q111" s="40"/>
      <c r="R111" s="40"/>
      <c r="S111" s="40"/>
      <c r="T111" s="40"/>
      <c r="U111" s="40"/>
      <c r="V111" s="40"/>
      <c r="AE111" s="25"/>
    </row>
    <row r="112" spans="3:31" ht="18" customHeight="1" x14ac:dyDescent="0.3">
      <c r="C112" s="40"/>
      <c r="Q112" s="40"/>
      <c r="R112" s="40"/>
      <c r="S112" s="40"/>
      <c r="T112" s="40"/>
      <c r="U112" s="40"/>
      <c r="V112" s="40"/>
      <c r="AE112" s="25"/>
    </row>
    <row r="113" spans="3:31" ht="18" customHeight="1" x14ac:dyDescent="0.3">
      <c r="C113" s="40"/>
      <c r="Q113" s="40"/>
      <c r="R113" s="40"/>
      <c r="S113" s="40"/>
      <c r="T113" s="40"/>
      <c r="U113" s="40"/>
      <c r="V113" s="40"/>
      <c r="AE113" s="25"/>
    </row>
    <row r="114" spans="3:31" ht="18" customHeight="1" x14ac:dyDescent="0.3">
      <c r="C114" s="40"/>
      <c r="Q114" s="40"/>
      <c r="R114" s="40"/>
      <c r="S114" s="40"/>
      <c r="T114" s="40"/>
      <c r="U114" s="40"/>
      <c r="V114" s="40"/>
      <c r="AE114" s="25"/>
    </row>
    <row r="115" spans="3:31" ht="18" customHeight="1" x14ac:dyDescent="0.3">
      <c r="C115" s="40"/>
      <c r="Q115" s="40"/>
      <c r="R115" s="40"/>
      <c r="S115" s="40"/>
      <c r="T115" s="40"/>
      <c r="U115" s="40"/>
      <c r="V115" s="40"/>
      <c r="AE115" s="25"/>
    </row>
    <row r="116" spans="3:31" ht="18" customHeight="1" x14ac:dyDescent="0.3">
      <c r="C116" s="40"/>
      <c r="Q116" s="40"/>
      <c r="R116" s="40"/>
      <c r="S116" s="40"/>
      <c r="T116" s="40"/>
      <c r="U116" s="40"/>
      <c r="V116" s="40"/>
      <c r="AE116" s="25"/>
    </row>
    <row r="117" spans="3:31" ht="18" customHeight="1" x14ac:dyDescent="0.3">
      <c r="C117" s="40"/>
      <c r="Q117" s="40"/>
      <c r="R117" s="40"/>
      <c r="S117" s="40"/>
      <c r="T117" s="40"/>
      <c r="U117" s="40"/>
      <c r="V117" s="40"/>
      <c r="AE117" s="25"/>
    </row>
    <row r="118" spans="3:31" ht="18" customHeight="1" x14ac:dyDescent="0.3">
      <c r="C118" s="40"/>
      <c r="Q118" s="40"/>
      <c r="R118" s="40"/>
      <c r="S118" s="40"/>
      <c r="T118" s="40"/>
      <c r="U118" s="40"/>
      <c r="V118" s="40"/>
      <c r="AE118" s="25"/>
    </row>
    <row r="119" spans="3:31" ht="18" customHeight="1" x14ac:dyDescent="0.3">
      <c r="C119" s="40"/>
      <c r="Q119" s="40"/>
      <c r="R119" s="40"/>
      <c r="S119" s="40"/>
      <c r="T119" s="40"/>
      <c r="U119" s="40"/>
      <c r="V119" s="40"/>
      <c r="AE119" s="25"/>
    </row>
    <row r="120" spans="3:31" ht="18" customHeight="1" x14ac:dyDescent="0.3">
      <c r="C120" s="40"/>
      <c r="Q120" s="40"/>
      <c r="R120" s="40"/>
      <c r="S120" s="40"/>
      <c r="T120" s="40"/>
      <c r="U120" s="40"/>
      <c r="V120" s="40"/>
      <c r="AE120" s="25"/>
    </row>
    <row r="121" spans="3:31" ht="18" customHeight="1" x14ac:dyDescent="0.3">
      <c r="C121" s="40"/>
      <c r="Q121" s="40"/>
      <c r="R121" s="40"/>
      <c r="S121" s="40"/>
      <c r="T121" s="40"/>
      <c r="U121" s="40"/>
      <c r="V121" s="40"/>
      <c r="AE121" s="25"/>
    </row>
    <row r="122" spans="3:31" ht="18" customHeight="1" x14ac:dyDescent="0.3">
      <c r="C122" s="40"/>
      <c r="Q122" s="40"/>
      <c r="R122" s="40"/>
      <c r="S122" s="40"/>
      <c r="T122" s="40"/>
      <c r="U122" s="40"/>
      <c r="V122" s="40"/>
      <c r="AE122" s="25"/>
    </row>
    <row r="123" spans="3:31" ht="18" customHeight="1" x14ac:dyDescent="0.3">
      <c r="C123" s="40"/>
      <c r="Q123" s="40"/>
      <c r="R123" s="40"/>
      <c r="S123" s="40"/>
      <c r="T123" s="40"/>
      <c r="U123" s="40"/>
      <c r="V123" s="40"/>
      <c r="AE123" s="25"/>
    </row>
    <row r="124" spans="3:31" ht="18" customHeight="1" x14ac:dyDescent="0.3">
      <c r="C124" s="40"/>
      <c r="Q124" s="40"/>
      <c r="R124" s="40"/>
      <c r="S124" s="40"/>
      <c r="T124" s="40"/>
      <c r="U124" s="40"/>
      <c r="V124" s="40"/>
      <c r="AE124" s="25"/>
    </row>
    <row r="125" spans="3:31" ht="18" customHeight="1" x14ac:dyDescent="0.3">
      <c r="C125" s="40"/>
      <c r="Q125" s="40"/>
      <c r="R125" s="40"/>
      <c r="S125" s="40"/>
      <c r="T125" s="40"/>
      <c r="U125" s="40"/>
      <c r="V125" s="40"/>
      <c r="AE125" s="25"/>
    </row>
    <row r="126" spans="3:31" ht="18" customHeight="1" x14ac:dyDescent="0.3">
      <c r="C126" s="40"/>
      <c r="Q126" s="40"/>
      <c r="R126" s="40"/>
      <c r="S126" s="40"/>
      <c r="T126" s="40"/>
      <c r="U126" s="40"/>
      <c r="V126" s="40"/>
      <c r="AE126" s="25"/>
    </row>
    <row r="127" spans="3:31" ht="18" customHeight="1" x14ac:dyDescent="0.3">
      <c r="C127" s="40"/>
      <c r="Q127" s="40"/>
      <c r="R127" s="40"/>
      <c r="S127" s="40"/>
      <c r="T127" s="40"/>
      <c r="U127" s="40"/>
      <c r="V127" s="40"/>
      <c r="AE127" s="25"/>
    </row>
    <row r="128" spans="3:31" ht="18" customHeight="1" x14ac:dyDescent="0.3">
      <c r="C128" s="40"/>
      <c r="Q128" s="40"/>
      <c r="R128" s="40"/>
      <c r="S128" s="40"/>
      <c r="T128" s="40"/>
      <c r="U128" s="40"/>
      <c r="V128" s="40"/>
      <c r="AE128" s="25"/>
    </row>
    <row r="129" spans="3:31" ht="18" customHeight="1" x14ac:dyDescent="0.3">
      <c r="C129" s="40"/>
      <c r="Q129" s="40"/>
      <c r="R129" s="40"/>
      <c r="S129" s="40"/>
      <c r="T129" s="40"/>
      <c r="U129" s="40"/>
      <c r="V129" s="40"/>
      <c r="AE129" s="25"/>
    </row>
    <row r="130" spans="3:31" ht="18" customHeight="1" x14ac:dyDescent="0.3">
      <c r="C130" s="40"/>
      <c r="Q130" s="40"/>
      <c r="R130" s="40"/>
      <c r="S130" s="40"/>
      <c r="T130" s="40"/>
      <c r="U130" s="40"/>
      <c r="V130" s="40"/>
      <c r="AE130" s="25"/>
    </row>
    <row r="131" spans="3:31" ht="18" customHeight="1" x14ac:dyDescent="0.3">
      <c r="C131" s="40"/>
      <c r="Q131" s="40"/>
      <c r="R131" s="40"/>
      <c r="S131" s="40"/>
      <c r="T131" s="40"/>
      <c r="U131" s="40"/>
      <c r="V131" s="40"/>
      <c r="AE131" s="25"/>
    </row>
    <row r="132" spans="3:31" ht="18" customHeight="1" x14ac:dyDescent="0.3">
      <c r="C132" s="40"/>
      <c r="Q132" s="40"/>
      <c r="R132" s="40"/>
      <c r="S132" s="40"/>
      <c r="T132" s="40"/>
      <c r="U132" s="40"/>
      <c r="V132" s="40"/>
      <c r="AE132" s="25"/>
    </row>
    <row r="133" spans="3:31" ht="18" customHeight="1" x14ac:dyDescent="0.3">
      <c r="C133" s="40"/>
      <c r="Q133" s="40"/>
      <c r="R133" s="40"/>
      <c r="S133" s="40"/>
      <c r="T133" s="40"/>
      <c r="U133" s="40"/>
      <c r="V133" s="40"/>
      <c r="AE133" s="25"/>
    </row>
    <row r="134" spans="3:31" ht="18" customHeight="1" x14ac:dyDescent="0.3">
      <c r="C134" s="40"/>
      <c r="Q134" s="40"/>
      <c r="R134" s="40"/>
      <c r="S134" s="40"/>
      <c r="T134" s="40"/>
      <c r="U134" s="40"/>
      <c r="V134" s="40"/>
      <c r="AE134" s="25"/>
    </row>
    <row r="135" spans="3:31" ht="18" customHeight="1" x14ac:dyDescent="0.3">
      <c r="C135" s="40"/>
      <c r="Q135" s="40"/>
      <c r="R135" s="40"/>
      <c r="S135" s="40"/>
      <c r="T135" s="40"/>
      <c r="U135" s="40"/>
      <c r="V135" s="40"/>
      <c r="AE135" s="25"/>
    </row>
    <row r="136" spans="3:31" ht="18" customHeight="1" x14ac:dyDescent="0.3">
      <c r="C136" s="40"/>
      <c r="Q136" s="40"/>
      <c r="R136" s="40"/>
      <c r="S136" s="40"/>
      <c r="T136" s="40"/>
      <c r="U136" s="40"/>
      <c r="V136" s="40"/>
      <c r="AE136" s="25"/>
    </row>
    <row r="137" spans="3:31" ht="18" customHeight="1" x14ac:dyDescent="0.3">
      <c r="C137" s="40"/>
      <c r="Q137" s="40"/>
      <c r="R137" s="40"/>
      <c r="S137" s="40"/>
      <c r="T137" s="40"/>
      <c r="U137" s="40"/>
      <c r="V137" s="40"/>
      <c r="AE137" s="25"/>
    </row>
    <row r="138" spans="3:31" ht="18" customHeight="1" x14ac:dyDescent="0.3">
      <c r="C138" s="40"/>
      <c r="Q138" s="40"/>
      <c r="R138" s="40"/>
      <c r="S138" s="40"/>
      <c r="T138" s="40"/>
      <c r="U138" s="40"/>
      <c r="V138" s="40"/>
      <c r="AE138" s="25"/>
    </row>
    <row r="139" spans="3:31" ht="18" customHeight="1" x14ac:dyDescent="0.3">
      <c r="C139" s="40"/>
      <c r="Q139" s="40"/>
      <c r="R139" s="40"/>
      <c r="S139" s="40"/>
      <c r="T139" s="40"/>
      <c r="U139" s="40"/>
      <c r="V139" s="40"/>
      <c r="AE139" s="25"/>
    </row>
    <row r="140" spans="3:31" ht="18" customHeight="1" x14ac:dyDescent="0.3">
      <c r="C140" s="40"/>
      <c r="Q140" s="40"/>
      <c r="R140" s="40"/>
      <c r="S140" s="40"/>
      <c r="T140" s="40"/>
      <c r="U140" s="40"/>
      <c r="V140" s="40"/>
      <c r="AE140" s="25"/>
    </row>
    <row r="141" spans="3:31" ht="18" customHeight="1" x14ac:dyDescent="0.3">
      <c r="C141" s="40"/>
      <c r="Q141" s="40"/>
      <c r="R141" s="40"/>
      <c r="S141" s="40"/>
      <c r="T141" s="40"/>
      <c r="U141" s="40"/>
      <c r="V141" s="40"/>
      <c r="AE141" s="25"/>
    </row>
    <row r="142" spans="3:31" ht="18" customHeight="1" x14ac:dyDescent="0.3">
      <c r="C142" s="40"/>
      <c r="Q142" s="40"/>
      <c r="R142" s="40"/>
      <c r="S142" s="40"/>
      <c r="T142" s="40"/>
      <c r="U142" s="40"/>
      <c r="V142" s="40"/>
      <c r="AE142" s="25"/>
    </row>
    <row r="143" spans="3:31" ht="18" customHeight="1" x14ac:dyDescent="0.3">
      <c r="C143" s="40"/>
      <c r="Q143" s="40"/>
      <c r="R143" s="40"/>
      <c r="S143" s="40"/>
      <c r="T143" s="40"/>
      <c r="U143" s="40"/>
      <c r="V143" s="40"/>
      <c r="AE143" s="25"/>
    </row>
    <row r="144" spans="3:31" ht="18" customHeight="1" x14ac:dyDescent="0.3">
      <c r="C144" s="40"/>
      <c r="Q144" s="40"/>
      <c r="R144" s="40"/>
      <c r="S144" s="40"/>
      <c r="T144" s="40"/>
      <c r="U144" s="40"/>
      <c r="V144" s="40"/>
      <c r="AE144" s="25"/>
    </row>
    <row r="145" spans="3:31" ht="18" customHeight="1" x14ac:dyDescent="0.3">
      <c r="C145" s="40"/>
      <c r="Q145" s="40"/>
      <c r="R145" s="40"/>
      <c r="S145" s="40"/>
      <c r="T145" s="40"/>
      <c r="U145" s="40"/>
      <c r="V145" s="40"/>
      <c r="AE145" s="25"/>
    </row>
    <row r="146" spans="3:31" ht="18" customHeight="1" x14ac:dyDescent="0.3">
      <c r="C146" s="40"/>
      <c r="Q146" s="40"/>
      <c r="R146" s="40"/>
      <c r="S146" s="40"/>
      <c r="T146" s="40"/>
      <c r="U146" s="40"/>
      <c r="V146" s="40"/>
      <c r="AE146" s="25"/>
    </row>
    <row r="147" spans="3:31" ht="18" customHeight="1" x14ac:dyDescent="0.3">
      <c r="C147" s="40"/>
      <c r="Q147" s="40"/>
      <c r="R147" s="40"/>
      <c r="S147" s="40"/>
      <c r="T147" s="40"/>
      <c r="U147" s="40"/>
      <c r="V147" s="40"/>
      <c r="AE147" s="25"/>
    </row>
    <row r="148" spans="3:31" ht="18" customHeight="1" x14ac:dyDescent="0.3">
      <c r="C148" s="40"/>
      <c r="Q148" s="40"/>
      <c r="R148" s="40"/>
      <c r="S148" s="40"/>
      <c r="T148" s="40"/>
      <c r="U148" s="40"/>
      <c r="V148" s="40"/>
      <c r="AE148" s="25"/>
    </row>
    <row r="149" spans="3:31" ht="18" customHeight="1" x14ac:dyDescent="0.3">
      <c r="C149" s="40"/>
      <c r="Q149" s="40"/>
      <c r="R149" s="40"/>
      <c r="S149" s="40"/>
      <c r="T149" s="40"/>
      <c r="U149" s="40"/>
      <c r="V149" s="40"/>
      <c r="AE149" s="25"/>
    </row>
    <row r="150" spans="3:31" ht="18" customHeight="1" x14ac:dyDescent="0.3">
      <c r="C150" s="40"/>
      <c r="Q150" s="40"/>
      <c r="R150" s="40"/>
      <c r="S150" s="40"/>
      <c r="T150" s="40"/>
      <c r="U150" s="40"/>
      <c r="V150" s="40"/>
      <c r="AE150" s="25"/>
    </row>
    <row r="151" spans="3:31" ht="18" customHeight="1" x14ac:dyDescent="0.3">
      <c r="C151" s="40"/>
      <c r="Q151" s="40"/>
      <c r="R151" s="40"/>
      <c r="S151" s="40"/>
      <c r="T151" s="40"/>
      <c r="U151" s="40"/>
      <c r="V151" s="40"/>
      <c r="AE151" s="25"/>
    </row>
    <row r="152" spans="3:31" ht="18" customHeight="1" x14ac:dyDescent="0.3">
      <c r="C152" s="40"/>
      <c r="Q152" s="40"/>
      <c r="R152" s="40"/>
      <c r="S152" s="40"/>
      <c r="T152" s="40"/>
      <c r="U152" s="40"/>
      <c r="V152" s="40"/>
      <c r="AE152" s="25"/>
    </row>
    <row r="153" spans="3:31" ht="18" customHeight="1" x14ac:dyDescent="0.3">
      <c r="C153" s="40"/>
      <c r="Q153" s="40"/>
      <c r="R153" s="40"/>
      <c r="S153" s="40"/>
      <c r="T153" s="40"/>
      <c r="U153" s="40"/>
      <c r="V153" s="40"/>
      <c r="AE153" s="25"/>
    </row>
    <row r="154" spans="3:31" ht="18" customHeight="1" x14ac:dyDescent="0.3">
      <c r="C154" s="40"/>
      <c r="Q154" s="40"/>
      <c r="R154" s="40"/>
      <c r="S154" s="40"/>
      <c r="T154" s="40"/>
      <c r="U154" s="40"/>
      <c r="V154" s="40"/>
      <c r="AE154" s="25"/>
    </row>
    <row r="155" spans="3:31" ht="18" customHeight="1" x14ac:dyDescent="0.3">
      <c r="C155" s="40"/>
      <c r="Q155" s="40"/>
      <c r="R155" s="40"/>
      <c r="S155" s="40"/>
      <c r="T155" s="40"/>
      <c r="U155" s="40"/>
      <c r="V155" s="40"/>
      <c r="AE155" s="25"/>
    </row>
    <row r="156" spans="3:31" ht="18" customHeight="1" x14ac:dyDescent="0.3">
      <c r="C156" s="40"/>
      <c r="Q156" s="40"/>
      <c r="R156" s="40"/>
      <c r="S156" s="40"/>
      <c r="T156" s="40"/>
      <c r="U156" s="40"/>
      <c r="V156" s="40"/>
      <c r="AE156" s="25"/>
    </row>
    <row r="157" spans="3:31" ht="18" customHeight="1" x14ac:dyDescent="0.3">
      <c r="C157" s="40"/>
      <c r="Q157" s="40"/>
      <c r="R157" s="40"/>
      <c r="S157" s="40"/>
      <c r="T157" s="40"/>
      <c r="U157" s="40"/>
      <c r="V157" s="40"/>
      <c r="AE157" s="25"/>
    </row>
    <row r="158" spans="3:31" ht="18" customHeight="1" x14ac:dyDescent="0.3">
      <c r="C158" s="40"/>
      <c r="Q158" s="40"/>
      <c r="R158" s="40"/>
      <c r="S158" s="40"/>
      <c r="T158" s="40"/>
      <c r="U158" s="40"/>
      <c r="V158" s="40"/>
      <c r="AE158" s="25"/>
    </row>
    <row r="159" spans="3:31" ht="18" customHeight="1" x14ac:dyDescent="0.3">
      <c r="C159" s="40"/>
      <c r="Q159" s="40"/>
      <c r="R159" s="40"/>
      <c r="S159" s="40"/>
      <c r="T159" s="40"/>
      <c r="U159" s="40"/>
      <c r="V159" s="40"/>
      <c r="AE159" s="25"/>
    </row>
    <row r="160" spans="3:31" ht="18" customHeight="1" x14ac:dyDescent="0.3">
      <c r="C160" s="40"/>
      <c r="Q160" s="40"/>
      <c r="R160" s="40"/>
      <c r="S160" s="40"/>
      <c r="T160" s="40"/>
      <c r="U160" s="40"/>
      <c r="V160" s="40"/>
      <c r="AE160" s="25"/>
    </row>
    <row r="161" spans="3:31" ht="18" customHeight="1" x14ac:dyDescent="0.3">
      <c r="C161" s="40"/>
      <c r="Q161" s="40"/>
      <c r="R161" s="40"/>
      <c r="S161" s="40"/>
      <c r="T161" s="40"/>
      <c r="U161" s="40"/>
      <c r="V161" s="40"/>
      <c r="AE161" s="25"/>
    </row>
    <row r="162" spans="3:31" ht="18" customHeight="1" x14ac:dyDescent="0.3">
      <c r="C162" s="40"/>
      <c r="Q162" s="40"/>
      <c r="R162" s="40"/>
      <c r="S162" s="40"/>
      <c r="T162" s="40"/>
      <c r="U162" s="40"/>
      <c r="V162" s="40"/>
      <c r="AE162" s="25"/>
    </row>
    <row r="163" spans="3:31" ht="18" customHeight="1" x14ac:dyDescent="0.3">
      <c r="C163" s="40"/>
      <c r="Q163" s="40"/>
      <c r="R163" s="40"/>
      <c r="S163" s="40"/>
      <c r="T163" s="40"/>
      <c r="U163" s="40"/>
      <c r="V163" s="40"/>
      <c r="AE163" s="25"/>
    </row>
    <row r="164" spans="3:31" ht="18" customHeight="1" x14ac:dyDescent="0.3">
      <c r="C164" s="40"/>
      <c r="Q164" s="40"/>
      <c r="R164" s="40"/>
      <c r="S164" s="40"/>
      <c r="T164" s="40"/>
      <c r="U164" s="40"/>
      <c r="V164" s="40"/>
      <c r="AE164" s="25"/>
    </row>
    <row r="165" spans="3:31" ht="18" customHeight="1" x14ac:dyDescent="0.3">
      <c r="C165" s="40"/>
      <c r="Q165" s="40"/>
      <c r="R165" s="40"/>
      <c r="S165" s="40"/>
      <c r="T165" s="40"/>
      <c r="U165" s="40"/>
      <c r="V165" s="40"/>
      <c r="AE165" s="25"/>
    </row>
    <row r="166" spans="3:31" ht="18" customHeight="1" x14ac:dyDescent="0.3">
      <c r="C166" s="40"/>
      <c r="Q166" s="40"/>
      <c r="R166" s="40"/>
      <c r="S166" s="40"/>
      <c r="T166" s="40"/>
      <c r="U166" s="40"/>
      <c r="V166" s="40"/>
      <c r="AE166" s="25"/>
    </row>
    <row r="167" spans="3:31" ht="18" customHeight="1" x14ac:dyDescent="0.3">
      <c r="C167" s="40"/>
      <c r="Q167" s="40"/>
      <c r="R167" s="40"/>
      <c r="S167" s="40"/>
      <c r="T167" s="40"/>
      <c r="U167" s="40"/>
      <c r="V167" s="40"/>
      <c r="AE167" s="25"/>
    </row>
    <row r="168" spans="3:31" ht="18" customHeight="1" x14ac:dyDescent="0.3">
      <c r="C168" s="40"/>
      <c r="Q168" s="40"/>
      <c r="R168" s="40"/>
      <c r="S168" s="40"/>
      <c r="T168" s="40"/>
      <c r="U168" s="40"/>
      <c r="V168" s="40"/>
      <c r="AE168" s="25"/>
    </row>
    <row r="169" spans="3:31" ht="18" customHeight="1" x14ac:dyDescent="0.3">
      <c r="C169" s="40"/>
      <c r="Q169" s="40"/>
      <c r="R169" s="40"/>
      <c r="S169" s="40"/>
      <c r="T169" s="40"/>
      <c r="U169" s="40"/>
      <c r="V169" s="40"/>
      <c r="AE169" s="25"/>
    </row>
    <row r="170" spans="3:31" ht="18" customHeight="1" x14ac:dyDescent="0.3">
      <c r="C170" s="40"/>
      <c r="Q170" s="40"/>
      <c r="R170" s="40"/>
      <c r="S170" s="40"/>
      <c r="T170" s="40"/>
      <c r="U170" s="40"/>
      <c r="V170" s="40"/>
      <c r="AE170" s="25"/>
    </row>
    <row r="171" spans="3:31" ht="18" customHeight="1" x14ac:dyDescent="0.3">
      <c r="C171" s="40"/>
      <c r="Q171" s="40"/>
      <c r="R171" s="40"/>
      <c r="S171" s="40"/>
      <c r="T171" s="40"/>
      <c r="U171" s="40"/>
      <c r="V171" s="40"/>
      <c r="AE171" s="25"/>
    </row>
    <row r="172" spans="3:31" ht="18" customHeight="1" x14ac:dyDescent="0.3">
      <c r="C172" s="40"/>
      <c r="Q172" s="40"/>
      <c r="R172" s="40"/>
      <c r="S172" s="40"/>
      <c r="T172" s="40"/>
      <c r="U172" s="40"/>
      <c r="V172" s="40"/>
      <c r="AE172" s="25"/>
    </row>
    <row r="173" spans="3:31" ht="18" customHeight="1" x14ac:dyDescent="0.3">
      <c r="C173" s="40"/>
      <c r="Q173" s="40"/>
      <c r="R173" s="40"/>
      <c r="S173" s="40"/>
      <c r="T173" s="40"/>
      <c r="U173" s="40"/>
      <c r="V173" s="40"/>
      <c r="AE173" s="25"/>
    </row>
    <row r="174" spans="3:31" ht="18" customHeight="1" x14ac:dyDescent="0.3">
      <c r="C174" s="40"/>
      <c r="Q174" s="40"/>
      <c r="R174" s="40"/>
      <c r="S174" s="40"/>
      <c r="T174" s="40"/>
      <c r="U174" s="40"/>
      <c r="V174" s="40"/>
      <c r="AE174" s="25"/>
    </row>
    <row r="175" spans="3:31" ht="18" customHeight="1" x14ac:dyDescent="0.3">
      <c r="C175" s="40"/>
      <c r="Q175" s="40"/>
      <c r="R175" s="40"/>
      <c r="S175" s="40"/>
      <c r="T175" s="40"/>
      <c r="U175" s="40"/>
      <c r="V175" s="40"/>
      <c r="AE175" s="25"/>
    </row>
    <row r="176" spans="3:31" ht="18" customHeight="1" x14ac:dyDescent="0.3">
      <c r="C176" s="40"/>
      <c r="Q176" s="40"/>
      <c r="R176" s="40"/>
      <c r="S176" s="40"/>
      <c r="T176" s="40"/>
      <c r="U176" s="40"/>
      <c r="V176" s="40"/>
      <c r="AE176" s="25"/>
    </row>
    <row r="177" spans="3:31" ht="18" customHeight="1" x14ac:dyDescent="0.3">
      <c r="C177" s="40"/>
      <c r="Q177" s="40"/>
      <c r="R177" s="40"/>
      <c r="S177" s="40"/>
      <c r="T177" s="40"/>
      <c r="U177" s="40"/>
      <c r="V177" s="40"/>
      <c r="AE177" s="25"/>
    </row>
    <row r="178" spans="3:31" ht="18" customHeight="1" x14ac:dyDescent="0.3">
      <c r="C178" s="40"/>
      <c r="Q178" s="40"/>
      <c r="R178" s="40"/>
      <c r="S178" s="40"/>
      <c r="T178" s="40"/>
      <c r="U178" s="40"/>
      <c r="V178" s="40"/>
      <c r="AE178" s="25"/>
    </row>
    <row r="179" spans="3:31" ht="18" customHeight="1" x14ac:dyDescent="0.3">
      <c r="C179" s="40"/>
      <c r="Q179" s="40"/>
      <c r="R179" s="40"/>
      <c r="S179" s="40"/>
      <c r="T179" s="40"/>
      <c r="U179" s="40"/>
      <c r="V179" s="40"/>
      <c r="AE179" s="25"/>
    </row>
    <row r="180" spans="3:31" ht="18" customHeight="1" x14ac:dyDescent="0.3">
      <c r="C180" s="40"/>
      <c r="Q180" s="40"/>
      <c r="R180" s="40"/>
      <c r="S180" s="40"/>
      <c r="T180" s="40"/>
      <c r="U180" s="40"/>
      <c r="V180" s="40"/>
      <c r="AE180" s="25"/>
    </row>
    <row r="181" spans="3:31" ht="18" customHeight="1" x14ac:dyDescent="0.3">
      <c r="C181" s="40"/>
      <c r="Q181" s="40"/>
      <c r="R181" s="40"/>
      <c r="S181" s="40"/>
      <c r="T181" s="40"/>
      <c r="U181" s="40"/>
      <c r="V181" s="40"/>
      <c r="AE181" s="25"/>
    </row>
    <row r="182" spans="3:31" ht="18" customHeight="1" x14ac:dyDescent="0.3">
      <c r="C182" s="40"/>
      <c r="Q182" s="40"/>
      <c r="R182" s="40"/>
      <c r="S182" s="40"/>
      <c r="T182" s="40"/>
      <c r="U182" s="40"/>
      <c r="V182" s="40"/>
      <c r="AE182" s="25"/>
    </row>
    <row r="183" spans="3:31" ht="18" customHeight="1" x14ac:dyDescent="0.3">
      <c r="C183" s="40"/>
      <c r="Q183" s="40"/>
      <c r="R183" s="40"/>
      <c r="S183" s="40"/>
      <c r="T183" s="40"/>
      <c r="U183" s="40"/>
      <c r="V183" s="40"/>
      <c r="AE183" s="25"/>
    </row>
    <row r="184" spans="3:31" ht="18" customHeight="1" x14ac:dyDescent="0.3">
      <c r="C184" s="40"/>
      <c r="Q184" s="40"/>
      <c r="R184" s="40"/>
      <c r="S184" s="40"/>
      <c r="T184" s="40"/>
      <c r="U184" s="40"/>
      <c r="V184" s="40"/>
      <c r="AE184" s="25"/>
    </row>
    <row r="185" spans="3:31" ht="18" customHeight="1" x14ac:dyDescent="0.3">
      <c r="C185" s="40"/>
      <c r="Q185" s="40"/>
      <c r="R185" s="40"/>
      <c r="S185" s="40"/>
      <c r="T185" s="40"/>
      <c r="U185" s="40"/>
      <c r="V185" s="40"/>
      <c r="AE185" s="25"/>
    </row>
    <row r="186" spans="3:31" ht="18" customHeight="1" x14ac:dyDescent="0.3">
      <c r="C186" s="40"/>
      <c r="Q186" s="40"/>
      <c r="R186" s="40"/>
      <c r="S186" s="40"/>
      <c r="T186" s="40"/>
      <c r="U186" s="40"/>
      <c r="V186" s="40"/>
      <c r="AE186" s="25"/>
    </row>
    <row r="187" spans="3:31" ht="18" customHeight="1" x14ac:dyDescent="0.3">
      <c r="C187" s="40"/>
      <c r="Q187" s="40"/>
      <c r="R187" s="40"/>
      <c r="S187" s="40"/>
      <c r="T187" s="40"/>
      <c r="U187" s="40"/>
      <c r="V187" s="40"/>
      <c r="AE187" s="25"/>
    </row>
    <row r="188" spans="3:31" ht="18" customHeight="1" x14ac:dyDescent="0.3">
      <c r="C188" s="40"/>
      <c r="Q188" s="40"/>
      <c r="R188" s="40"/>
      <c r="S188" s="40"/>
      <c r="T188" s="40"/>
      <c r="U188" s="40"/>
      <c r="V188" s="40"/>
      <c r="AE188" s="25"/>
    </row>
    <row r="189" spans="3:31" ht="18" customHeight="1" x14ac:dyDescent="0.3">
      <c r="C189" s="40"/>
      <c r="Q189" s="40"/>
      <c r="R189" s="40"/>
      <c r="S189" s="40"/>
      <c r="T189" s="40"/>
      <c r="U189" s="40"/>
      <c r="V189" s="40"/>
      <c r="AE189" s="25"/>
    </row>
    <row r="190" spans="3:31" ht="18" customHeight="1" x14ac:dyDescent="0.3">
      <c r="C190" s="40"/>
      <c r="Q190" s="40"/>
      <c r="R190" s="40"/>
      <c r="S190" s="40"/>
      <c r="T190" s="40"/>
      <c r="U190" s="40"/>
      <c r="V190" s="40"/>
      <c r="AE190" s="25"/>
    </row>
    <row r="191" spans="3:31" ht="18" customHeight="1" x14ac:dyDescent="0.3">
      <c r="C191" s="40"/>
      <c r="Q191" s="40"/>
      <c r="R191" s="40"/>
      <c r="S191" s="40"/>
      <c r="T191" s="40"/>
      <c r="U191" s="40"/>
      <c r="V191" s="40"/>
      <c r="AE191" s="25"/>
    </row>
    <row r="192" spans="3:31" ht="18" customHeight="1" x14ac:dyDescent="0.3">
      <c r="C192" s="40"/>
      <c r="Q192" s="40"/>
      <c r="R192" s="40"/>
      <c r="S192" s="40"/>
      <c r="T192" s="40"/>
      <c r="U192" s="40"/>
      <c r="V192" s="40"/>
      <c r="AE192" s="25"/>
    </row>
    <row r="193" spans="3:31" ht="18" customHeight="1" x14ac:dyDescent="0.3">
      <c r="C193" s="40"/>
      <c r="Q193" s="40"/>
      <c r="R193" s="40"/>
      <c r="S193" s="40"/>
      <c r="T193" s="40"/>
      <c r="U193" s="40"/>
      <c r="V193" s="40"/>
      <c r="AE193" s="25"/>
    </row>
    <row r="194" spans="3:31" ht="18" customHeight="1" x14ac:dyDescent="0.3">
      <c r="C194" s="40"/>
      <c r="Q194" s="40"/>
      <c r="R194" s="40"/>
      <c r="S194" s="40"/>
      <c r="T194" s="40"/>
      <c r="U194" s="40"/>
      <c r="V194" s="40"/>
      <c r="AE194" s="25"/>
    </row>
    <row r="195" spans="3:31" ht="18" customHeight="1" x14ac:dyDescent="0.3">
      <c r="C195" s="40"/>
      <c r="Q195" s="40"/>
      <c r="R195" s="40"/>
      <c r="S195" s="40"/>
      <c r="T195" s="40"/>
      <c r="U195" s="40"/>
      <c r="V195" s="40"/>
      <c r="AE195" s="25"/>
    </row>
    <row r="196" spans="3:31" ht="18" customHeight="1" x14ac:dyDescent="0.3">
      <c r="C196" s="40"/>
      <c r="Q196" s="40"/>
      <c r="R196" s="40"/>
      <c r="S196" s="40"/>
      <c r="T196" s="40"/>
      <c r="U196" s="40"/>
      <c r="V196" s="40"/>
      <c r="AE196" s="25"/>
    </row>
    <row r="197" spans="3:31" ht="18" customHeight="1" x14ac:dyDescent="0.3">
      <c r="C197" s="40"/>
      <c r="Q197" s="40"/>
      <c r="R197" s="40"/>
      <c r="S197" s="40"/>
      <c r="T197" s="40"/>
      <c r="U197" s="40"/>
      <c r="V197" s="40"/>
      <c r="AE197" s="25"/>
    </row>
    <row r="198" spans="3:31" ht="18" customHeight="1" x14ac:dyDescent="0.3">
      <c r="C198" s="40"/>
      <c r="Q198" s="40"/>
      <c r="R198" s="40"/>
      <c r="S198" s="40"/>
      <c r="T198" s="40"/>
      <c r="U198" s="40"/>
      <c r="V198" s="40"/>
      <c r="AE198" s="25"/>
    </row>
    <row r="199" spans="3:31" ht="18" customHeight="1" x14ac:dyDescent="0.3">
      <c r="C199" s="40"/>
      <c r="Q199" s="40"/>
      <c r="R199" s="40"/>
      <c r="S199" s="40"/>
      <c r="T199" s="40"/>
      <c r="U199" s="40"/>
      <c r="V199" s="40"/>
      <c r="AE199" s="25"/>
    </row>
    <row r="200" spans="3:31" ht="18" customHeight="1" x14ac:dyDescent="0.3">
      <c r="C200" s="40"/>
      <c r="Q200" s="40"/>
      <c r="R200" s="40"/>
      <c r="S200" s="40"/>
      <c r="T200" s="40"/>
      <c r="U200" s="40"/>
      <c r="V200" s="40"/>
    </row>
  </sheetData>
  <mergeCells count="1">
    <mergeCell ref="A1:T1"/>
  </mergeCells>
  <conditionalFormatting sqref="AB4:AB200">
    <cfRule type="expression" dxfId="14" priority="2">
      <formula>AB4="🔴"</formula>
    </cfRule>
    <cfRule type="expression" dxfId="13" priority="3">
      <formula>AB4="🟠"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L5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8.6640625" defaultRowHeight="14.4" x14ac:dyDescent="0.3"/>
  <cols>
    <col min="1" max="1" width="14" customWidth="1"/>
    <col min="2" max="2" width="28" customWidth="1"/>
    <col min="3" max="3" width="16" customWidth="1"/>
    <col min="4" max="4" width="10" customWidth="1"/>
    <col min="5" max="6" width="15" customWidth="1"/>
    <col min="7" max="7" width="14" customWidth="1"/>
    <col min="8" max="8" width="12" customWidth="1"/>
    <col min="9" max="9" width="14" customWidth="1"/>
    <col min="10" max="10" width="48" customWidth="1"/>
    <col min="11" max="12" width="12" customWidth="1"/>
  </cols>
  <sheetData>
    <row r="1" spans="1:12" ht="25.5" customHeight="1" x14ac:dyDescent="0.3">
      <c r="A1" s="66" t="s">
        <v>519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</row>
    <row r="2" spans="1:12" ht="43.5" customHeight="1" x14ac:dyDescent="0.3">
      <c r="A2" s="65" t="s">
        <v>520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1:12" ht="30" customHeight="1" x14ac:dyDescent="0.3">
      <c r="A3" s="7" t="s">
        <v>457</v>
      </c>
      <c r="B3" s="7" t="s">
        <v>458</v>
      </c>
      <c r="C3" s="7" t="s">
        <v>97</v>
      </c>
      <c r="D3" s="7" t="s">
        <v>98</v>
      </c>
      <c r="E3" s="7" t="s">
        <v>521</v>
      </c>
      <c r="F3" s="23" t="s">
        <v>522</v>
      </c>
      <c r="G3" s="7" t="s">
        <v>523</v>
      </c>
      <c r="H3" s="7" t="s">
        <v>524</v>
      </c>
      <c r="I3" s="7" t="s">
        <v>491</v>
      </c>
      <c r="J3" s="7" t="s">
        <v>525</v>
      </c>
      <c r="K3" s="7" t="s">
        <v>526</v>
      </c>
      <c r="L3" s="7" t="s">
        <v>527</v>
      </c>
    </row>
    <row r="4" spans="1:12" ht="15" customHeight="1" x14ac:dyDescent="0.3">
      <c r="A4" s="17" t="str">
        <f>IF(Projecten!A4="","",Projecten!A4)</f>
        <v>IRN24-0175</v>
      </c>
      <c r="B4" s="17" t="str">
        <f>IF(Projecten!A4="","",Projecten!B4)</f>
        <v>Maasstraat - Dordrecht</v>
      </c>
      <c r="C4" s="17" t="str">
        <f>IF(Projecten!A4="","",Projecten!F4)</f>
        <v>Netgedreven</v>
      </c>
      <c r="D4" s="17" t="str">
        <f>IF(Projecten!A4="","",Projecten!G4)</f>
        <v>OidK</v>
      </c>
      <c r="E4" s="41">
        <f>IF(Projecten!A4="","",Projecten!E4)</f>
        <v>46405</v>
      </c>
      <c r="F4" s="41">
        <f t="array" aca="1" ref="F4" ca="1">IF(A4="","",IF(MAX((dash_ProjectID=A4)*dash_Geimpliceerde_GSU)=0,"n.v.t.",MAX((dash_ProjectID=A4)*dash_Geimpliceerde_GSU)))</f>
        <v>46409</v>
      </c>
      <c r="G4" s="20">
        <f t="shared" ref="G4:G50" ca="1" si="0">IF(OR(A4="",NOT(ISNUMBER(F4))),"",NETWORKDAYS(E4,F4)-1)</f>
        <v>4</v>
      </c>
      <c r="H4" s="27">
        <f t="shared" ref="H4:H50" ca="1" si="1">IF(OR(A4="",NOT(ISNUMBER(G4))),"",ROUND(G4/5,1))</f>
        <v>0.8</v>
      </c>
      <c r="I4" s="17" t="str">
        <f t="shared" ref="I4:I50" ca="1" si="2">IF(A4="","",IF(NOT(ISNUMBER(G4)),"Onbekend",IF(G4&lt;=0,"✓ Op koers",IF(G4&lt;=10,"⚠ Krap (&lt;2 wk slip)",IF(G4&lt;=25,"🟠 Slip 2-5 wk","🔴 Slip &gt;5 wk")))))</f>
        <v>⚠ Krap (&lt;2 wk slip)</v>
      </c>
      <c r="J4" s="17" t="str">
        <f t="array" aca="1" ref="J4" ca="1">IF(OR(A4="",NOT(ISNUMBER(F4))),"",IFERROR(INDEX(dash_Type,MATCH(1,(dash_ProjectID=A4)*(dash_Geimpliceerde_GSU=F4),0)),""))</f>
        <v>Bodemonderzoek CROW 400 — NG-OidK 2.O.8 (20wd)</v>
      </c>
      <c r="K4" s="20">
        <f t="shared" ref="K4:K50" ca="1" si="3">IF(A4="","",SUMPRODUCT((dash_ProjectID=A4)*(dash_Actiepunt=TRUE())))</f>
        <v>2</v>
      </c>
      <c r="L4" s="20">
        <f t="shared" ref="L4:L50" ca="1" si="4">IF(A4="","",SUMPRODUCT((dash_ProjectID=A4)*((dash_Showstopper_GSU=TRUE())+(dash_Showstopper_Fase=TRUE())&gt;0)))</f>
        <v>0</v>
      </c>
    </row>
    <row r="5" spans="1:12" ht="15" customHeight="1" x14ac:dyDescent="0.3">
      <c r="A5" s="17" t="str">
        <f>IF(Projecten!A5="","",Projecten!A5)</f>
        <v>IRN24-0081</v>
      </c>
      <c r="B5" s="17" t="str">
        <f>IF(Projecten!A5="","",Projecten!B5)</f>
        <v>Rozensingel Fase 2</v>
      </c>
      <c r="C5" s="17" t="str">
        <f>IF(Projecten!A5="","",Projecten!F5)</f>
        <v>Netgedreven</v>
      </c>
      <c r="D5" s="17" t="str">
        <f>IF(Projecten!A5="","",Projecten!G5)</f>
        <v>NOidK</v>
      </c>
      <c r="E5" s="41">
        <f>IF(Projecten!A5="","",Projecten!E5)</f>
        <v>46258</v>
      </c>
      <c r="F5" s="41">
        <f t="array" aca="1" ref="F5" ca="1">IF(A5="","",IF(MAX((dash_ProjectID=A5)*dash_Geimpliceerde_GSU)=0,"n.v.t.",MAX((dash_ProjectID=A5)*dash_Geimpliceerde_GSU)))</f>
        <v>46346</v>
      </c>
      <c r="G5" s="20">
        <f t="shared" ca="1" si="0"/>
        <v>64</v>
      </c>
      <c r="H5" s="27">
        <f t="shared" ca="1" si="1"/>
        <v>12.8</v>
      </c>
      <c r="I5" s="17" t="str">
        <f t="shared" ca="1" si="2"/>
        <v>🔴 Slip &gt;5 wk</v>
      </c>
      <c r="J5" s="17" t="str">
        <f t="array" aca="1" ref="J5" ca="1">IF(OR(A5="",NOT(ISNUMBER(F5))),"",IFERROR(INDEX(dash_Type,MATCH(1,(dash_ProjectID=A5)*(dash_Geimpliceerde_GSU=F5),0)),""))</f>
        <v>Proefsleuven en bijzondere activiteiten — NG (50 wd)</v>
      </c>
      <c r="K5" s="20">
        <f t="shared" ca="1" si="3"/>
        <v>5</v>
      </c>
      <c r="L5" s="20">
        <f t="shared" ca="1" si="4"/>
        <v>1</v>
      </c>
    </row>
    <row r="6" spans="1:12" ht="15" customHeight="1" x14ac:dyDescent="0.3">
      <c r="A6" s="17" t="str">
        <f>IF(Projecten!A6="","",Projecten!A6)</f>
        <v>IRN24-0134</v>
      </c>
      <c r="B6" s="17" t="str">
        <f>IF(Projecten!A6="","",Projecten!B6)</f>
        <v>Honingerdijk</v>
      </c>
      <c r="C6" s="17" t="str">
        <f>IF(Projecten!A6="","",Projecten!F6)</f>
        <v>Netgedreven</v>
      </c>
      <c r="D6" s="17" t="str">
        <f>IF(Projecten!A6="","",Projecten!G6)</f>
        <v>NOidK</v>
      </c>
      <c r="E6" s="41">
        <f>IF(Projecten!A6="","",Projecten!E6)</f>
        <v>46265</v>
      </c>
      <c r="F6" s="41">
        <f t="array" aca="1" ref="F6" ca="1">IF(A6="","",IF(MAX((dash_ProjectID=A6)*dash_Geimpliceerde_GSU)=0,"n.v.t.",MAX((dash_ProjectID=A6)*dash_Geimpliceerde_GSU)))</f>
        <v>46346</v>
      </c>
      <c r="G6" s="20">
        <f t="shared" ca="1" si="0"/>
        <v>59</v>
      </c>
      <c r="H6" s="27">
        <f t="shared" ca="1" si="1"/>
        <v>11.8</v>
      </c>
      <c r="I6" s="17" t="str">
        <f t="shared" ca="1" si="2"/>
        <v>🔴 Slip &gt;5 wk</v>
      </c>
      <c r="J6" s="17" t="str">
        <f t="array" aca="1" ref="J6" ca="1">IF(OR(A6="",NOT(ISNUMBER(F6))),"",IFERROR(INDEX(dash_Type,MATCH(1,(dash_ProjectID=A6)*(dash_Geimpliceerde_GSU=F6),0)),""))</f>
        <v>Proefsleuven en bijzondere activiteiten — NG (50 wd)</v>
      </c>
      <c r="K6" s="20">
        <f t="shared" ca="1" si="3"/>
        <v>5</v>
      </c>
      <c r="L6" s="20">
        <f t="shared" ca="1" si="4"/>
        <v>1</v>
      </c>
    </row>
    <row r="7" spans="1:12" ht="23.25" customHeight="1" x14ac:dyDescent="0.3">
      <c r="A7" s="17" t="str">
        <f>IF(Projecten!A7="","",Projecten!A7)</f>
        <v>IRN25-0031</v>
      </c>
      <c r="B7" s="17" t="str">
        <f>IF(Projecten!A7="","",Projecten!B7)</f>
        <v>Molenstraat Schenkel</v>
      </c>
      <c r="C7" s="17" t="str">
        <f>IF(Projecten!A7="","",Projecten!F7)</f>
        <v>Netgedreven</v>
      </c>
      <c r="D7" s="17" t="str">
        <f>IF(Projecten!A7="","",Projecten!G7)</f>
        <v>NOidK</v>
      </c>
      <c r="E7" s="41">
        <f>IF(Projecten!A7="","",Projecten!E7)</f>
        <v>46223</v>
      </c>
      <c r="F7" s="41">
        <f t="array" aca="1" ref="F7" ca="1">IF(A7="","",IF(MAX((dash_ProjectID=A7)*dash_Geimpliceerde_GSU)=0,"n.v.t.",MAX((dash_ProjectID=A7)*dash_Geimpliceerde_GSU)))</f>
        <v>46346</v>
      </c>
      <c r="G7" s="20">
        <f t="shared" ca="1" si="0"/>
        <v>89</v>
      </c>
      <c r="H7" s="27">
        <f t="shared" ca="1" si="1"/>
        <v>17.8</v>
      </c>
      <c r="I7" s="17" t="str">
        <f t="shared" ca="1" si="2"/>
        <v>🔴 Slip &gt;5 wk</v>
      </c>
      <c r="J7" s="17" t="str">
        <f t="array" aca="1" ref="J7" ca="1">IF(OR(A7="",NOT(ISNUMBER(F7))),"",IFERROR(INDEX(dash_Type,MATCH(1,(dash_ProjectID=A7)*(dash_Geimpliceerde_GSU=F7),0)),""))</f>
        <v>Proefsleuven en bijzondere activiteiten — NG (50 wd)</v>
      </c>
      <c r="K7" s="20">
        <f t="shared" ca="1" si="3"/>
        <v>7</v>
      </c>
      <c r="L7" s="20">
        <f t="shared" ca="1" si="4"/>
        <v>3</v>
      </c>
    </row>
    <row r="8" spans="1:12" ht="15" customHeight="1" x14ac:dyDescent="0.3">
      <c r="A8" s="17" t="str">
        <f>IF(Projecten!A8="","",Projecten!A8)</f>
        <v/>
      </c>
      <c r="B8" s="17" t="str">
        <f>IF(Projecten!A8="","",Projecten!B8)</f>
        <v/>
      </c>
      <c r="C8" s="17" t="str">
        <f>IF(Projecten!A8="","",Projecten!F8)</f>
        <v/>
      </c>
      <c r="D8" s="17" t="str">
        <f>IF(Projecten!A8="","",Projecten!G8)</f>
        <v/>
      </c>
      <c r="E8" s="41" t="str">
        <f>IF(Projecten!A8="","",Projecten!E8)</f>
        <v/>
      </c>
      <c r="F8" s="41" t="str">
        <f t="array" ref="F8">IF(A8="","",IF(MAX((dash_ProjectID=A8)*dash_Geimpliceerde_GSU)=0,"n.v.t.",MAX((dash_ProjectID=A8)*dash_Geimpliceerde_GSU)))</f>
        <v/>
      </c>
      <c r="G8" s="20" t="str">
        <f t="shared" si="0"/>
        <v/>
      </c>
      <c r="H8" s="27" t="str">
        <f t="shared" si="1"/>
        <v/>
      </c>
      <c r="I8" s="17" t="str">
        <f t="shared" si="2"/>
        <v/>
      </c>
      <c r="J8" s="17" t="str">
        <f t="array" ref="J8">IF(OR(A8="",NOT(ISNUMBER(F8))),"",IFERROR(INDEX(dash_Type,MATCH(1,(dash_ProjectID=A8)*(dash_Geimpliceerde_GSU=F8),0)),""))</f>
        <v/>
      </c>
      <c r="K8" s="20" t="str">
        <f t="shared" si="3"/>
        <v/>
      </c>
      <c r="L8" s="20" t="str">
        <f t="shared" si="4"/>
        <v/>
      </c>
    </row>
    <row r="9" spans="1:12" ht="15" customHeight="1" x14ac:dyDescent="0.3">
      <c r="A9" s="17" t="str">
        <f>IF(Projecten!A9="","",Projecten!A9)</f>
        <v/>
      </c>
      <c r="B9" s="17" t="str">
        <f>IF(Projecten!A9="","",Projecten!B9)</f>
        <v/>
      </c>
      <c r="C9" s="17" t="str">
        <f>IF(Projecten!A9="","",Projecten!F9)</f>
        <v/>
      </c>
      <c r="D9" s="17" t="str">
        <f>IF(Projecten!A9="","",Projecten!G9)</f>
        <v/>
      </c>
      <c r="E9" s="41" t="str">
        <f>IF(Projecten!A9="","",Projecten!E9)</f>
        <v/>
      </c>
      <c r="F9" s="41" t="str">
        <f t="array" ref="F9">IF(A9="","",IF(MAX((dash_ProjectID=A9)*dash_Geimpliceerde_GSU)=0,"n.v.t.",MAX((dash_ProjectID=A9)*dash_Geimpliceerde_GSU)))</f>
        <v/>
      </c>
      <c r="G9" s="20" t="str">
        <f t="shared" si="0"/>
        <v/>
      </c>
      <c r="H9" s="27" t="str">
        <f t="shared" si="1"/>
        <v/>
      </c>
      <c r="I9" s="17" t="str">
        <f t="shared" si="2"/>
        <v/>
      </c>
      <c r="J9" s="17" t="str">
        <f t="array" ref="J9">IF(OR(A9="",NOT(ISNUMBER(F9))),"",IFERROR(INDEX(dash_Type,MATCH(1,(dash_ProjectID=A9)*(dash_Geimpliceerde_GSU=F9),0)),""))</f>
        <v/>
      </c>
      <c r="K9" s="20" t="str">
        <f t="shared" si="3"/>
        <v/>
      </c>
      <c r="L9" s="20" t="str">
        <f t="shared" si="4"/>
        <v/>
      </c>
    </row>
    <row r="10" spans="1:12" ht="15" customHeight="1" x14ac:dyDescent="0.3">
      <c r="A10" s="17" t="str">
        <f>IF(Projecten!A10="","",Projecten!A10)</f>
        <v/>
      </c>
      <c r="B10" s="17" t="str">
        <f>IF(Projecten!A10="","",Projecten!B10)</f>
        <v/>
      </c>
      <c r="C10" s="17" t="str">
        <f>IF(Projecten!A10="","",Projecten!F10)</f>
        <v/>
      </c>
      <c r="D10" s="17" t="str">
        <f>IF(Projecten!A10="","",Projecten!G10)</f>
        <v/>
      </c>
      <c r="E10" s="41" t="str">
        <f>IF(Projecten!A10="","",Projecten!E10)</f>
        <v/>
      </c>
      <c r="F10" s="41" t="str">
        <f t="array" ref="F10">IF(A10="","",IF(MAX((dash_ProjectID=A10)*dash_Geimpliceerde_GSU)=0,"n.v.t.",MAX((dash_ProjectID=A10)*dash_Geimpliceerde_GSU)))</f>
        <v/>
      </c>
      <c r="G10" s="20" t="str">
        <f t="shared" si="0"/>
        <v/>
      </c>
      <c r="H10" s="27" t="str">
        <f t="shared" si="1"/>
        <v/>
      </c>
      <c r="I10" s="17" t="str">
        <f t="shared" si="2"/>
        <v/>
      </c>
      <c r="J10" s="17" t="str">
        <f t="array" ref="J10">IF(OR(A10="",NOT(ISNUMBER(F10))),"",IFERROR(INDEX(dash_Type,MATCH(1,(dash_ProjectID=A10)*(dash_Geimpliceerde_GSU=F10),0)),""))</f>
        <v/>
      </c>
      <c r="K10" s="20" t="str">
        <f t="shared" si="3"/>
        <v/>
      </c>
      <c r="L10" s="20" t="str">
        <f t="shared" si="4"/>
        <v/>
      </c>
    </row>
    <row r="11" spans="1:12" ht="15" customHeight="1" x14ac:dyDescent="0.3">
      <c r="A11" s="17" t="str">
        <f>IF(Projecten!A11="","",Projecten!A11)</f>
        <v/>
      </c>
      <c r="B11" s="17" t="str">
        <f>IF(Projecten!A11="","",Projecten!B11)</f>
        <v/>
      </c>
      <c r="C11" s="17" t="str">
        <f>IF(Projecten!A11="","",Projecten!F11)</f>
        <v/>
      </c>
      <c r="D11" s="17" t="str">
        <f>IF(Projecten!A11="","",Projecten!G11)</f>
        <v/>
      </c>
      <c r="E11" s="41" t="str">
        <f>IF(Projecten!A11="","",Projecten!E11)</f>
        <v/>
      </c>
      <c r="F11" s="41" t="str">
        <f t="array" ref="F11">IF(A11="","",IF(MAX((dash_ProjectID=A11)*dash_Geimpliceerde_GSU)=0,"n.v.t.",MAX((dash_ProjectID=A11)*dash_Geimpliceerde_GSU)))</f>
        <v/>
      </c>
      <c r="G11" s="20" t="str">
        <f t="shared" si="0"/>
        <v/>
      </c>
      <c r="H11" s="27" t="str">
        <f t="shared" si="1"/>
        <v/>
      </c>
      <c r="I11" s="17" t="str">
        <f t="shared" si="2"/>
        <v/>
      </c>
      <c r="J11" s="17" t="str">
        <f t="array" ref="J11">IF(OR(A11="",NOT(ISNUMBER(F11))),"",IFERROR(INDEX(dash_Type,MATCH(1,(dash_ProjectID=A11)*(dash_Geimpliceerde_GSU=F11),0)),""))</f>
        <v/>
      </c>
      <c r="K11" s="20" t="str">
        <f t="shared" si="3"/>
        <v/>
      </c>
      <c r="L11" s="20" t="str">
        <f t="shared" si="4"/>
        <v/>
      </c>
    </row>
    <row r="12" spans="1:12" ht="15" customHeight="1" x14ac:dyDescent="0.3">
      <c r="A12" s="17" t="str">
        <f>IF(Projecten!A12="","",Projecten!A12)</f>
        <v/>
      </c>
      <c r="B12" s="17" t="str">
        <f>IF(Projecten!A12="","",Projecten!B12)</f>
        <v/>
      </c>
      <c r="C12" s="17" t="str">
        <f>IF(Projecten!A12="","",Projecten!F12)</f>
        <v/>
      </c>
      <c r="D12" s="17" t="str">
        <f>IF(Projecten!A12="","",Projecten!G12)</f>
        <v/>
      </c>
      <c r="E12" s="41" t="str">
        <f>IF(Projecten!A12="","",Projecten!E12)</f>
        <v/>
      </c>
      <c r="F12" s="41" t="str">
        <f t="array" ref="F12">IF(A12="","",IF(MAX((dash_ProjectID=A12)*dash_Geimpliceerde_GSU)=0,"n.v.t.",MAX((dash_ProjectID=A12)*dash_Geimpliceerde_GSU)))</f>
        <v/>
      </c>
      <c r="G12" s="20" t="str">
        <f t="shared" si="0"/>
        <v/>
      </c>
      <c r="H12" s="27" t="str">
        <f t="shared" si="1"/>
        <v/>
      </c>
      <c r="I12" s="17" t="str">
        <f t="shared" si="2"/>
        <v/>
      </c>
      <c r="J12" s="17" t="str">
        <f t="array" ref="J12">IF(OR(A12="",NOT(ISNUMBER(F12))),"",IFERROR(INDEX(dash_Type,MATCH(1,(dash_ProjectID=A12)*(dash_Geimpliceerde_GSU=F12),0)),""))</f>
        <v/>
      </c>
      <c r="K12" s="20" t="str">
        <f t="shared" si="3"/>
        <v/>
      </c>
      <c r="L12" s="20" t="str">
        <f t="shared" si="4"/>
        <v/>
      </c>
    </row>
    <row r="13" spans="1:12" ht="15" customHeight="1" x14ac:dyDescent="0.3">
      <c r="A13" s="17" t="str">
        <f>IF(Projecten!A13="","",Projecten!A13)</f>
        <v/>
      </c>
      <c r="B13" s="17" t="str">
        <f>IF(Projecten!A13="","",Projecten!B13)</f>
        <v/>
      </c>
      <c r="C13" s="17" t="str">
        <f>IF(Projecten!A13="","",Projecten!F13)</f>
        <v/>
      </c>
      <c r="D13" s="17" t="str">
        <f>IF(Projecten!A13="","",Projecten!G13)</f>
        <v/>
      </c>
      <c r="E13" s="41" t="str">
        <f>IF(Projecten!A13="","",Projecten!E13)</f>
        <v/>
      </c>
      <c r="F13" s="41" t="str">
        <f t="array" ref="F13">IF(A13="","",IF(MAX((dash_ProjectID=A13)*dash_Geimpliceerde_GSU)=0,"n.v.t.",MAX((dash_ProjectID=A13)*dash_Geimpliceerde_GSU)))</f>
        <v/>
      </c>
      <c r="G13" s="20" t="str">
        <f t="shared" si="0"/>
        <v/>
      </c>
      <c r="H13" s="27" t="str">
        <f t="shared" si="1"/>
        <v/>
      </c>
      <c r="I13" s="17" t="str">
        <f t="shared" si="2"/>
        <v/>
      </c>
      <c r="J13" s="17" t="str">
        <f t="array" ref="J13">IF(OR(A13="",NOT(ISNUMBER(F13))),"",IFERROR(INDEX(dash_Type,MATCH(1,(dash_ProjectID=A13)*(dash_Geimpliceerde_GSU=F13),0)),""))</f>
        <v/>
      </c>
      <c r="K13" s="20" t="str">
        <f t="shared" si="3"/>
        <v/>
      </c>
      <c r="L13" s="20" t="str">
        <f t="shared" si="4"/>
        <v/>
      </c>
    </row>
    <row r="14" spans="1:12" ht="15" customHeight="1" x14ac:dyDescent="0.3">
      <c r="A14" s="17" t="str">
        <f>IF(Projecten!A14="","",Projecten!A14)</f>
        <v/>
      </c>
      <c r="B14" s="17" t="str">
        <f>IF(Projecten!A14="","",Projecten!B14)</f>
        <v/>
      </c>
      <c r="C14" s="17" t="str">
        <f>IF(Projecten!A14="","",Projecten!F14)</f>
        <v/>
      </c>
      <c r="D14" s="17" t="str">
        <f>IF(Projecten!A14="","",Projecten!G14)</f>
        <v/>
      </c>
      <c r="E14" s="41" t="str">
        <f>IF(Projecten!A14="","",Projecten!E14)</f>
        <v/>
      </c>
      <c r="F14" s="41" t="str">
        <f t="array" ref="F14">IF(A14="","",IF(MAX((dash_ProjectID=A14)*dash_Geimpliceerde_GSU)=0,"n.v.t.",MAX((dash_ProjectID=A14)*dash_Geimpliceerde_GSU)))</f>
        <v/>
      </c>
      <c r="G14" s="20" t="str">
        <f t="shared" si="0"/>
        <v/>
      </c>
      <c r="H14" s="27" t="str">
        <f t="shared" si="1"/>
        <v/>
      </c>
      <c r="I14" s="17" t="str">
        <f t="shared" si="2"/>
        <v/>
      </c>
      <c r="J14" s="17" t="str">
        <f t="array" ref="J14">IF(OR(A14="",NOT(ISNUMBER(F14))),"",IFERROR(INDEX(dash_Type,MATCH(1,(dash_ProjectID=A14)*(dash_Geimpliceerde_GSU=F14),0)),""))</f>
        <v/>
      </c>
      <c r="K14" s="20" t="str">
        <f t="shared" si="3"/>
        <v/>
      </c>
      <c r="L14" s="20" t="str">
        <f t="shared" si="4"/>
        <v/>
      </c>
    </row>
    <row r="15" spans="1:12" ht="15" customHeight="1" x14ac:dyDescent="0.3">
      <c r="A15" s="17" t="str">
        <f>IF(Projecten!A15="","",Projecten!A15)</f>
        <v/>
      </c>
      <c r="B15" s="17" t="str">
        <f>IF(Projecten!A15="","",Projecten!B15)</f>
        <v/>
      </c>
      <c r="C15" s="17" t="str">
        <f>IF(Projecten!A15="","",Projecten!F15)</f>
        <v/>
      </c>
      <c r="D15" s="17" t="str">
        <f>IF(Projecten!A15="","",Projecten!G15)</f>
        <v/>
      </c>
      <c r="E15" s="41" t="str">
        <f>IF(Projecten!A15="","",Projecten!E15)</f>
        <v/>
      </c>
      <c r="F15" s="41" t="str">
        <f t="array" ref="F15">IF(A15="","",IF(MAX((dash_ProjectID=A15)*dash_Geimpliceerde_GSU)=0,"n.v.t.",MAX((dash_ProjectID=A15)*dash_Geimpliceerde_GSU)))</f>
        <v/>
      </c>
      <c r="G15" s="20" t="str">
        <f t="shared" si="0"/>
        <v/>
      </c>
      <c r="H15" s="27" t="str">
        <f t="shared" si="1"/>
        <v/>
      </c>
      <c r="I15" s="17" t="str">
        <f t="shared" si="2"/>
        <v/>
      </c>
      <c r="J15" s="17" t="str">
        <f t="array" ref="J15">IF(OR(A15="",NOT(ISNUMBER(F15))),"",IFERROR(INDEX(dash_Type,MATCH(1,(dash_ProjectID=A15)*(dash_Geimpliceerde_GSU=F15),0)),""))</f>
        <v/>
      </c>
      <c r="K15" s="20" t="str">
        <f t="shared" si="3"/>
        <v/>
      </c>
      <c r="L15" s="20" t="str">
        <f t="shared" si="4"/>
        <v/>
      </c>
    </row>
    <row r="16" spans="1:12" ht="15" customHeight="1" x14ac:dyDescent="0.3">
      <c r="A16" s="17" t="str">
        <f>IF(Projecten!A16="","",Projecten!A16)</f>
        <v/>
      </c>
      <c r="B16" s="17" t="str">
        <f>IF(Projecten!A16="","",Projecten!B16)</f>
        <v/>
      </c>
      <c r="C16" s="17" t="str">
        <f>IF(Projecten!A16="","",Projecten!F16)</f>
        <v/>
      </c>
      <c r="D16" s="17" t="str">
        <f>IF(Projecten!A16="","",Projecten!G16)</f>
        <v/>
      </c>
      <c r="E16" s="41" t="str">
        <f>IF(Projecten!A16="","",Projecten!E16)</f>
        <v/>
      </c>
      <c r="F16" s="41" t="str">
        <f t="array" ref="F16">IF(A16="","",IF(MAX((dash_ProjectID=A16)*dash_Geimpliceerde_GSU)=0,"n.v.t.",MAX((dash_ProjectID=A16)*dash_Geimpliceerde_GSU)))</f>
        <v/>
      </c>
      <c r="G16" s="20" t="str">
        <f t="shared" si="0"/>
        <v/>
      </c>
      <c r="H16" s="27" t="str">
        <f t="shared" si="1"/>
        <v/>
      </c>
      <c r="I16" s="17" t="str">
        <f t="shared" si="2"/>
        <v/>
      </c>
      <c r="J16" s="17" t="str">
        <f t="array" ref="J16">IF(OR(A16="",NOT(ISNUMBER(F16))),"",IFERROR(INDEX(dash_Type,MATCH(1,(dash_ProjectID=A16)*(dash_Geimpliceerde_GSU=F16),0)),""))</f>
        <v/>
      </c>
      <c r="K16" s="20" t="str">
        <f t="shared" si="3"/>
        <v/>
      </c>
      <c r="L16" s="20" t="str">
        <f t="shared" si="4"/>
        <v/>
      </c>
    </row>
    <row r="17" spans="1:12" ht="15" customHeight="1" x14ac:dyDescent="0.3">
      <c r="A17" s="17" t="str">
        <f>IF(Projecten!A17="","",Projecten!A17)</f>
        <v/>
      </c>
      <c r="B17" s="17" t="str">
        <f>IF(Projecten!A17="","",Projecten!B17)</f>
        <v/>
      </c>
      <c r="C17" s="17" t="str">
        <f>IF(Projecten!A17="","",Projecten!F17)</f>
        <v/>
      </c>
      <c r="D17" s="17" t="str">
        <f>IF(Projecten!A17="","",Projecten!G17)</f>
        <v/>
      </c>
      <c r="E17" s="41" t="str">
        <f>IF(Projecten!A17="","",Projecten!E17)</f>
        <v/>
      </c>
      <c r="F17" s="41" t="str">
        <f t="array" ref="F17">IF(A17="","",IF(MAX((dash_ProjectID=A17)*dash_Geimpliceerde_GSU)=0,"n.v.t.",MAX((dash_ProjectID=A17)*dash_Geimpliceerde_GSU)))</f>
        <v/>
      </c>
      <c r="G17" s="20" t="str">
        <f t="shared" si="0"/>
        <v/>
      </c>
      <c r="H17" s="27" t="str">
        <f t="shared" si="1"/>
        <v/>
      </c>
      <c r="I17" s="17" t="str">
        <f t="shared" si="2"/>
        <v/>
      </c>
      <c r="J17" s="17" t="str">
        <f t="array" ref="J17">IF(OR(A17="",NOT(ISNUMBER(F17))),"",IFERROR(INDEX(dash_Type,MATCH(1,(dash_ProjectID=A17)*(dash_Geimpliceerde_GSU=F17),0)),""))</f>
        <v/>
      </c>
      <c r="K17" s="20" t="str">
        <f t="shared" si="3"/>
        <v/>
      </c>
      <c r="L17" s="20" t="str">
        <f t="shared" si="4"/>
        <v/>
      </c>
    </row>
    <row r="18" spans="1:12" ht="15" customHeight="1" x14ac:dyDescent="0.3">
      <c r="A18" s="17" t="str">
        <f>IF(Projecten!A18="","",Projecten!A18)</f>
        <v/>
      </c>
      <c r="B18" s="17" t="str">
        <f>IF(Projecten!A18="","",Projecten!B18)</f>
        <v/>
      </c>
      <c r="C18" s="17" t="str">
        <f>IF(Projecten!A18="","",Projecten!F18)</f>
        <v/>
      </c>
      <c r="D18" s="17" t="str">
        <f>IF(Projecten!A18="","",Projecten!G18)</f>
        <v/>
      </c>
      <c r="E18" s="41" t="str">
        <f>IF(Projecten!A18="","",Projecten!E18)</f>
        <v/>
      </c>
      <c r="F18" s="41" t="str">
        <f t="array" ref="F18">IF(A18="","",IF(MAX((dash_ProjectID=A18)*dash_Geimpliceerde_GSU)=0,"n.v.t.",MAX((dash_ProjectID=A18)*dash_Geimpliceerde_GSU)))</f>
        <v/>
      </c>
      <c r="G18" s="20" t="str">
        <f t="shared" si="0"/>
        <v/>
      </c>
      <c r="H18" s="27" t="str">
        <f t="shared" si="1"/>
        <v/>
      </c>
      <c r="I18" s="17" t="str">
        <f t="shared" si="2"/>
        <v/>
      </c>
      <c r="J18" s="17" t="str">
        <f t="array" ref="J18">IF(OR(A18="",NOT(ISNUMBER(F18))),"",IFERROR(INDEX(dash_Type,MATCH(1,(dash_ProjectID=A18)*(dash_Geimpliceerde_GSU=F18),0)),""))</f>
        <v/>
      </c>
      <c r="K18" s="20" t="str">
        <f t="shared" si="3"/>
        <v/>
      </c>
      <c r="L18" s="20" t="str">
        <f t="shared" si="4"/>
        <v/>
      </c>
    </row>
    <row r="19" spans="1:12" ht="15" customHeight="1" x14ac:dyDescent="0.3">
      <c r="A19" s="17" t="str">
        <f>IF(Projecten!A19="","",Projecten!A19)</f>
        <v/>
      </c>
      <c r="B19" s="17" t="str">
        <f>IF(Projecten!A19="","",Projecten!B19)</f>
        <v/>
      </c>
      <c r="C19" s="17" t="str">
        <f>IF(Projecten!A19="","",Projecten!F19)</f>
        <v/>
      </c>
      <c r="D19" s="17" t="str">
        <f>IF(Projecten!A19="","",Projecten!G19)</f>
        <v/>
      </c>
      <c r="E19" s="41" t="str">
        <f>IF(Projecten!A19="","",Projecten!E19)</f>
        <v/>
      </c>
      <c r="F19" s="41" t="str">
        <f t="array" ref="F19">IF(A19="","",IF(MAX((dash_ProjectID=A19)*dash_Geimpliceerde_GSU)=0,"n.v.t.",MAX((dash_ProjectID=A19)*dash_Geimpliceerde_GSU)))</f>
        <v/>
      </c>
      <c r="G19" s="20" t="str">
        <f t="shared" si="0"/>
        <v/>
      </c>
      <c r="H19" s="27" t="str">
        <f t="shared" si="1"/>
        <v/>
      </c>
      <c r="I19" s="17" t="str">
        <f t="shared" si="2"/>
        <v/>
      </c>
      <c r="J19" s="17" t="str">
        <f t="array" ref="J19">IF(OR(A19="",NOT(ISNUMBER(F19))),"",IFERROR(INDEX(dash_Type,MATCH(1,(dash_ProjectID=A19)*(dash_Geimpliceerde_GSU=F19),0)),""))</f>
        <v/>
      </c>
      <c r="K19" s="20" t="str">
        <f t="shared" si="3"/>
        <v/>
      </c>
      <c r="L19" s="20" t="str">
        <f t="shared" si="4"/>
        <v/>
      </c>
    </row>
    <row r="20" spans="1:12" ht="15" customHeight="1" x14ac:dyDescent="0.3">
      <c r="A20" s="17" t="str">
        <f>IF(Projecten!A20="","",Projecten!A20)</f>
        <v/>
      </c>
      <c r="B20" s="17" t="str">
        <f>IF(Projecten!A20="","",Projecten!B20)</f>
        <v/>
      </c>
      <c r="C20" s="17" t="str">
        <f>IF(Projecten!A20="","",Projecten!F20)</f>
        <v/>
      </c>
      <c r="D20" s="17" t="str">
        <f>IF(Projecten!A20="","",Projecten!G20)</f>
        <v/>
      </c>
      <c r="E20" s="41" t="str">
        <f>IF(Projecten!A20="","",Projecten!E20)</f>
        <v/>
      </c>
      <c r="F20" s="41" t="str">
        <f t="array" ref="F20">IF(A20="","",IF(MAX((dash_ProjectID=A20)*dash_Geimpliceerde_GSU)=0,"n.v.t.",MAX((dash_ProjectID=A20)*dash_Geimpliceerde_GSU)))</f>
        <v/>
      </c>
      <c r="G20" s="20" t="str">
        <f t="shared" si="0"/>
        <v/>
      </c>
      <c r="H20" s="27" t="str">
        <f t="shared" si="1"/>
        <v/>
      </c>
      <c r="I20" s="17" t="str">
        <f t="shared" si="2"/>
        <v/>
      </c>
      <c r="J20" s="17" t="str">
        <f t="array" ref="J20">IF(OR(A20="",NOT(ISNUMBER(F20))),"",IFERROR(INDEX(dash_Type,MATCH(1,(dash_ProjectID=A20)*(dash_Geimpliceerde_GSU=F20),0)),""))</f>
        <v/>
      </c>
      <c r="K20" s="20" t="str">
        <f t="shared" si="3"/>
        <v/>
      </c>
      <c r="L20" s="20" t="str">
        <f t="shared" si="4"/>
        <v/>
      </c>
    </row>
    <row r="21" spans="1:12" ht="15" customHeight="1" x14ac:dyDescent="0.3">
      <c r="A21" s="17" t="str">
        <f>IF(Projecten!A21="","",Projecten!A21)</f>
        <v/>
      </c>
      <c r="B21" s="17" t="str">
        <f>IF(Projecten!A21="","",Projecten!B21)</f>
        <v/>
      </c>
      <c r="C21" s="17" t="str">
        <f>IF(Projecten!A21="","",Projecten!F21)</f>
        <v/>
      </c>
      <c r="D21" s="17" t="str">
        <f>IF(Projecten!A21="","",Projecten!G21)</f>
        <v/>
      </c>
      <c r="E21" s="41" t="str">
        <f>IF(Projecten!A21="","",Projecten!E21)</f>
        <v/>
      </c>
      <c r="F21" s="41" t="str">
        <f t="array" ref="F21">IF(A21="","",IF(MAX((dash_ProjectID=A21)*dash_Geimpliceerde_GSU)=0,"n.v.t.",MAX((dash_ProjectID=A21)*dash_Geimpliceerde_GSU)))</f>
        <v/>
      </c>
      <c r="G21" s="20" t="str">
        <f t="shared" si="0"/>
        <v/>
      </c>
      <c r="H21" s="27" t="str">
        <f t="shared" si="1"/>
        <v/>
      </c>
      <c r="I21" s="17" t="str">
        <f t="shared" si="2"/>
        <v/>
      </c>
      <c r="J21" s="17" t="str">
        <f t="array" ref="J21">IF(OR(A21="",NOT(ISNUMBER(F21))),"",IFERROR(INDEX(dash_Type,MATCH(1,(dash_ProjectID=A21)*(dash_Geimpliceerde_GSU=F21),0)),""))</f>
        <v/>
      </c>
      <c r="K21" s="20" t="str">
        <f t="shared" si="3"/>
        <v/>
      </c>
      <c r="L21" s="20" t="str">
        <f t="shared" si="4"/>
        <v/>
      </c>
    </row>
    <row r="22" spans="1:12" ht="15" customHeight="1" x14ac:dyDescent="0.3">
      <c r="A22" s="17" t="str">
        <f>IF(Projecten!A22="","",Projecten!A22)</f>
        <v/>
      </c>
      <c r="B22" s="17" t="str">
        <f>IF(Projecten!A22="","",Projecten!B22)</f>
        <v/>
      </c>
      <c r="C22" s="17" t="str">
        <f>IF(Projecten!A22="","",Projecten!F22)</f>
        <v/>
      </c>
      <c r="D22" s="17" t="str">
        <f>IF(Projecten!A22="","",Projecten!G22)</f>
        <v/>
      </c>
      <c r="E22" s="41" t="str">
        <f>IF(Projecten!A22="","",Projecten!E22)</f>
        <v/>
      </c>
      <c r="F22" s="41" t="str">
        <f t="array" ref="F22">IF(A22="","",IF(MAX((dash_ProjectID=A22)*dash_Geimpliceerde_GSU)=0,"n.v.t.",MAX((dash_ProjectID=A22)*dash_Geimpliceerde_GSU)))</f>
        <v/>
      </c>
      <c r="G22" s="20" t="str">
        <f t="shared" si="0"/>
        <v/>
      </c>
      <c r="H22" s="27" t="str">
        <f t="shared" si="1"/>
        <v/>
      </c>
      <c r="I22" s="17" t="str">
        <f t="shared" si="2"/>
        <v/>
      </c>
      <c r="J22" s="17" t="str">
        <f t="array" ref="J22">IF(OR(A22="",NOT(ISNUMBER(F22))),"",IFERROR(INDEX(dash_Type,MATCH(1,(dash_ProjectID=A22)*(dash_Geimpliceerde_GSU=F22),0)),""))</f>
        <v/>
      </c>
      <c r="K22" s="20" t="str">
        <f t="shared" si="3"/>
        <v/>
      </c>
      <c r="L22" s="20" t="str">
        <f t="shared" si="4"/>
        <v/>
      </c>
    </row>
    <row r="23" spans="1:12" ht="15" customHeight="1" x14ac:dyDescent="0.3">
      <c r="A23" s="17" t="str">
        <f>IF(Projecten!A23="","",Projecten!A23)</f>
        <v/>
      </c>
      <c r="B23" s="17" t="str">
        <f>IF(Projecten!A23="","",Projecten!B23)</f>
        <v/>
      </c>
      <c r="C23" s="17" t="str">
        <f>IF(Projecten!A23="","",Projecten!F23)</f>
        <v/>
      </c>
      <c r="D23" s="17" t="str">
        <f>IF(Projecten!A23="","",Projecten!G23)</f>
        <v/>
      </c>
      <c r="E23" s="41" t="str">
        <f>IF(Projecten!A23="","",Projecten!E23)</f>
        <v/>
      </c>
      <c r="F23" s="41" t="str">
        <f t="array" ref="F23">IF(A23="","",IF(MAX((dash_ProjectID=A23)*dash_Geimpliceerde_GSU)=0,"n.v.t.",MAX((dash_ProjectID=A23)*dash_Geimpliceerde_GSU)))</f>
        <v/>
      </c>
      <c r="G23" s="20" t="str">
        <f t="shared" si="0"/>
        <v/>
      </c>
      <c r="H23" s="27" t="str">
        <f t="shared" si="1"/>
        <v/>
      </c>
      <c r="I23" s="17" t="str">
        <f t="shared" si="2"/>
        <v/>
      </c>
      <c r="J23" s="17" t="str">
        <f t="array" ref="J23">IF(OR(A23="",NOT(ISNUMBER(F23))),"",IFERROR(INDEX(dash_Type,MATCH(1,(dash_ProjectID=A23)*(dash_Geimpliceerde_GSU=F23),0)),""))</f>
        <v/>
      </c>
      <c r="K23" s="20" t="str">
        <f t="shared" si="3"/>
        <v/>
      </c>
      <c r="L23" s="20" t="str">
        <f t="shared" si="4"/>
        <v/>
      </c>
    </row>
    <row r="24" spans="1:12" ht="15" customHeight="1" x14ac:dyDescent="0.3">
      <c r="A24" s="17" t="str">
        <f>IF(Projecten!A24="","",Projecten!A24)</f>
        <v/>
      </c>
      <c r="B24" s="17" t="str">
        <f>IF(Projecten!A24="","",Projecten!B24)</f>
        <v/>
      </c>
      <c r="C24" s="17" t="str">
        <f>IF(Projecten!A24="","",Projecten!F24)</f>
        <v/>
      </c>
      <c r="D24" s="17" t="str">
        <f>IF(Projecten!A24="","",Projecten!G24)</f>
        <v/>
      </c>
      <c r="E24" s="41" t="str">
        <f>IF(Projecten!A24="","",Projecten!E24)</f>
        <v/>
      </c>
      <c r="F24" s="41" t="str">
        <f t="array" ref="F24">IF(A24="","",IF(MAX((dash_ProjectID=A24)*dash_Geimpliceerde_GSU)=0,"n.v.t.",MAX((dash_ProjectID=A24)*dash_Geimpliceerde_GSU)))</f>
        <v/>
      </c>
      <c r="G24" s="20" t="str">
        <f t="shared" si="0"/>
        <v/>
      </c>
      <c r="H24" s="27" t="str">
        <f t="shared" si="1"/>
        <v/>
      </c>
      <c r="I24" s="17" t="str">
        <f t="shared" si="2"/>
        <v/>
      </c>
      <c r="J24" s="17" t="str">
        <f t="array" ref="J24">IF(OR(A24="",NOT(ISNUMBER(F24))),"",IFERROR(INDEX(dash_Type,MATCH(1,(dash_ProjectID=A24)*(dash_Geimpliceerde_GSU=F24),0)),""))</f>
        <v/>
      </c>
      <c r="K24" s="20" t="str">
        <f t="shared" si="3"/>
        <v/>
      </c>
      <c r="L24" s="20" t="str">
        <f t="shared" si="4"/>
        <v/>
      </c>
    </row>
    <row r="25" spans="1:12" ht="15" customHeight="1" x14ac:dyDescent="0.3">
      <c r="A25" s="17" t="str">
        <f>IF(Projecten!A25="","",Projecten!A25)</f>
        <v/>
      </c>
      <c r="B25" s="17" t="str">
        <f>IF(Projecten!A25="","",Projecten!B25)</f>
        <v/>
      </c>
      <c r="C25" s="17" t="str">
        <f>IF(Projecten!A25="","",Projecten!F25)</f>
        <v/>
      </c>
      <c r="D25" s="17" t="str">
        <f>IF(Projecten!A25="","",Projecten!G25)</f>
        <v/>
      </c>
      <c r="E25" s="41" t="str">
        <f>IF(Projecten!A25="","",Projecten!E25)</f>
        <v/>
      </c>
      <c r="F25" s="41" t="str">
        <f t="array" ref="F25">IF(A25="","",IF(MAX((dash_ProjectID=A25)*dash_Geimpliceerde_GSU)=0,"n.v.t.",MAX((dash_ProjectID=A25)*dash_Geimpliceerde_GSU)))</f>
        <v/>
      </c>
      <c r="G25" s="20" t="str">
        <f t="shared" si="0"/>
        <v/>
      </c>
      <c r="H25" s="27" t="str">
        <f t="shared" si="1"/>
        <v/>
      </c>
      <c r="I25" s="17" t="str">
        <f t="shared" si="2"/>
        <v/>
      </c>
      <c r="J25" s="17" t="str">
        <f t="array" ref="J25">IF(OR(A25="",NOT(ISNUMBER(F25))),"",IFERROR(INDEX(dash_Type,MATCH(1,(dash_ProjectID=A25)*(dash_Geimpliceerde_GSU=F25),0)),""))</f>
        <v/>
      </c>
      <c r="K25" s="20" t="str">
        <f t="shared" si="3"/>
        <v/>
      </c>
      <c r="L25" s="20" t="str">
        <f t="shared" si="4"/>
        <v/>
      </c>
    </row>
    <row r="26" spans="1:12" ht="15" customHeight="1" x14ac:dyDescent="0.3">
      <c r="A26" s="17" t="str">
        <f>IF(Projecten!A26="","",Projecten!A26)</f>
        <v/>
      </c>
      <c r="B26" s="17" t="str">
        <f>IF(Projecten!A26="","",Projecten!B26)</f>
        <v/>
      </c>
      <c r="C26" s="17" t="str">
        <f>IF(Projecten!A26="","",Projecten!F26)</f>
        <v/>
      </c>
      <c r="D26" s="17" t="str">
        <f>IF(Projecten!A26="","",Projecten!G26)</f>
        <v/>
      </c>
      <c r="E26" s="41" t="str">
        <f>IF(Projecten!A26="","",Projecten!E26)</f>
        <v/>
      </c>
      <c r="F26" s="41" t="str">
        <f t="array" ref="F26">IF(A26="","",IF(MAX((dash_ProjectID=A26)*dash_Geimpliceerde_GSU)=0,"n.v.t.",MAX((dash_ProjectID=A26)*dash_Geimpliceerde_GSU)))</f>
        <v/>
      </c>
      <c r="G26" s="20" t="str">
        <f t="shared" si="0"/>
        <v/>
      </c>
      <c r="H26" s="27" t="str">
        <f t="shared" si="1"/>
        <v/>
      </c>
      <c r="I26" s="17" t="str">
        <f t="shared" si="2"/>
        <v/>
      </c>
      <c r="J26" s="17" t="str">
        <f t="array" ref="J26">IF(OR(A26="",NOT(ISNUMBER(F26))),"",IFERROR(INDEX(dash_Type,MATCH(1,(dash_ProjectID=A26)*(dash_Geimpliceerde_GSU=F26),0)),""))</f>
        <v/>
      </c>
      <c r="K26" s="20" t="str">
        <f t="shared" si="3"/>
        <v/>
      </c>
      <c r="L26" s="20" t="str">
        <f t="shared" si="4"/>
        <v/>
      </c>
    </row>
    <row r="27" spans="1:12" ht="15" customHeight="1" x14ac:dyDescent="0.3">
      <c r="A27" s="17" t="str">
        <f>IF(Projecten!A27="","",Projecten!A27)</f>
        <v/>
      </c>
      <c r="B27" s="17" t="str">
        <f>IF(Projecten!A27="","",Projecten!B27)</f>
        <v/>
      </c>
      <c r="C27" s="17" t="str">
        <f>IF(Projecten!A27="","",Projecten!F27)</f>
        <v/>
      </c>
      <c r="D27" s="17" t="str">
        <f>IF(Projecten!A27="","",Projecten!G27)</f>
        <v/>
      </c>
      <c r="E27" s="41" t="str">
        <f>IF(Projecten!A27="","",Projecten!E27)</f>
        <v/>
      </c>
      <c r="F27" s="41" t="str">
        <f t="array" ref="F27">IF(A27="","",IF(MAX((dash_ProjectID=A27)*dash_Geimpliceerde_GSU)=0,"n.v.t.",MAX((dash_ProjectID=A27)*dash_Geimpliceerde_GSU)))</f>
        <v/>
      </c>
      <c r="G27" s="20" t="str">
        <f t="shared" si="0"/>
        <v/>
      </c>
      <c r="H27" s="27" t="str">
        <f t="shared" si="1"/>
        <v/>
      </c>
      <c r="I27" s="17" t="str">
        <f t="shared" si="2"/>
        <v/>
      </c>
      <c r="J27" s="17" t="str">
        <f t="array" ref="J27">IF(OR(A27="",NOT(ISNUMBER(F27))),"",IFERROR(INDEX(dash_Type,MATCH(1,(dash_ProjectID=A27)*(dash_Geimpliceerde_GSU=F27),0)),""))</f>
        <v/>
      </c>
      <c r="K27" s="20" t="str">
        <f t="shared" si="3"/>
        <v/>
      </c>
      <c r="L27" s="20" t="str">
        <f t="shared" si="4"/>
        <v/>
      </c>
    </row>
    <row r="28" spans="1:12" ht="15" customHeight="1" x14ac:dyDescent="0.3">
      <c r="A28" s="17" t="str">
        <f>IF(Projecten!A28="","",Projecten!A28)</f>
        <v/>
      </c>
      <c r="B28" s="17" t="str">
        <f>IF(Projecten!A28="","",Projecten!B28)</f>
        <v/>
      </c>
      <c r="C28" s="17" t="str">
        <f>IF(Projecten!A28="","",Projecten!F28)</f>
        <v/>
      </c>
      <c r="D28" s="17" t="str">
        <f>IF(Projecten!A28="","",Projecten!G28)</f>
        <v/>
      </c>
      <c r="E28" s="41" t="str">
        <f>IF(Projecten!A28="","",Projecten!E28)</f>
        <v/>
      </c>
      <c r="F28" s="41" t="str">
        <f t="array" ref="F28">IF(A28="","",IF(MAX((dash_ProjectID=A28)*dash_Geimpliceerde_GSU)=0,"n.v.t.",MAX((dash_ProjectID=A28)*dash_Geimpliceerde_GSU)))</f>
        <v/>
      </c>
      <c r="G28" s="20" t="str">
        <f t="shared" si="0"/>
        <v/>
      </c>
      <c r="H28" s="27" t="str">
        <f t="shared" si="1"/>
        <v/>
      </c>
      <c r="I28" s="17" t="str">
        <f t="shared" si="2"/>
        <v/>
      </c>
      <c r="J28" s="17" t="str">
        <f t="array" ref="J28">IF(OR(A28="",NOT(ISNUMBER(F28))),"",IFERROR(INDEX(dash_Type,MATCH(1,(dash_ProjectID=A28)*(dash_Geimpliceerde_GSU=F28),0)),""))</f>
        <v/>
      </c>
      <c r="K28" s="20" t="str">
        <f t="shared" si="3"/>
        <v/>
      </c>
      <c r="L28" s="20" t="str">
        <f t="shared" si="4"/>
        <v/>
      </c>
    </row>
    <row r="29" spans="1:12" ht="15" customHeight="1" x14ac:dyDescent="0.3">
      <c r="A29" s="17" t="str">
        <f>IF(Projecten!A29="","",Projecten!A29)</f>
        <v/>
      </c>
      <c r="B29" s="17" t="str">
        <f>IF(Projecten!A29="","",Projecten!B29)</f>
        <v/>
      </c>
      <c r="C29" s="17" t="str">
        <f>IF(Projecten!A29="","",Projecten!F29)</f>
        <v/>
      </c>
      <c r="D29" s="17" t="str">
        <f>IF(Projecten!A29="","",Projecten!G29)</f>
        <v/>
      </c>
      <c r="E29" s="41" t="str">
        <f>IF(Projecten!A29="","",Projecten!E29)</f>
        <v/>
      </c>
      <c r="F29" s="41" t="str">
        <f t="array" ref="F29">IF(A29="","",IF(MAX((dash_ProjectID=A29)*dash_Geimpliceerde_GSU)=0,"n.v.t.",MAX((dash_ProjectID=A29)*dash_Geimpliceerde_GSU)))</f>
        <v/>
      </c>
      <c r="G29" s="20" t="str">
        <f t="shared" si="0"/>
        <v/>
      </c>
      <c r="H29" s="27" t="str">
        <f t="shared" si="1"/>
        <v/>
      </c>
      <c r="I29" s="17" t="str">
        <f t="shared" si="2"/>
        <v/>
      </c>
      <c r="J29" s="17" t="str">
        <f t="array" ref="J29">IF(OR(A29="",NOT(ISNUMBER(F29))),"",IFERROR(INDEX(dash_Type,MATCH(1,(dash_ProjectID=A29)*(dash_Geimpliceerde_GSU=F29),0)),""))</f>
        <v/>
      </c>
      <c r="K29" s="20" t="str">
        <f t="shared" si="3"/>
        <v/>
      </c>
      <c r="L29" s="20" t="str">
        <f t="shared" si="4"/>
        <v/>
      </c>
    </row>
    <row r="30" spans="1:12" ht="15" customHeight="1" x14ac:dyDescent="0.3">
      <c r="A30" s="17" t="str">
        <f>IF(Projecten!A30="","",Projecten!A30)</f>
        <v/>
      </c>
      <c r="B30" s="17" t="str">
        <f>IF(Projecten!A30="","",Projecten!B30)</f>
        <v/>
      </c>
      <c r="C30" s="17" t="str">
        <f>IF(Projecten!A30="","",Projecten!F30)</f>
        <v/>
      </c>
      <c r="D30" s="17" t="str">
        <f>IF(Projecten!A30="","",Projecten!G30)</f>
        <v/>
      </c>
      <c r="E30" s="26" t="str">
        <f>IF(Projecten!A30="","",Projecten!E30)</f>
        <v/>
      </c>
      <c r="F30" s="26" t="str">
        <f t="array" ref="F30">IF(A30="","",IF(MAX((dash_ProjectID=A30)*dash_Geimpliceerde_GSU)=0,"n.v.t.",MAX((dash_ProjectID=A30)*dash_Geimpliceerde_GSU)))</f>
        <v/>
      </c>
      <c r="G30" s="20" t="str">
        <f t="shared" si="0"/>
        <v/>
      </c>
      <c r="H30" s="27" t="str">
        <f t="shared" si="1"/>
        <v/>
      </c>
      <c r="I30" s="17" t="str">
        <f t="shared" si="2"/>
        <v/>
      </c>
      <c r="J30" s="17" t="str">
        <f t="array" ref="J30">IF(OR(A30="",NOT(ISNUMBER(F30))),"",IFERROR(INDEX(dash_Type,MATCH(1,(dash_ProjectID=A30)*(dash_Geimpliceerde_GSU=F30),0)),""))</f>
        <v/>
      </c>
      <c r="K30" s="20" t="str">
        <f t="shared" si="3"/>
        <v/>
      </c>
      <c r="L30" s="20" t="str">
        <f t="shared" si="4"/>
        <v/>
      </c>
    </row>
    <row r="31" spans="1:12" ht="15" customHeight="1" x14ac:dyDescent="0.3">
      <c r="A31" s="17" t="str">
        <f>IF(Projecten!A31="","",Projecten!A31)</f>
        <v/>
      </c>
      <c r="B31" s="17" t="str">
        <f>IF(Projecten!A31="","",Projecten!B31)</f>
        <v/>
      </c>
      <c r="C31" s="17" t="str">
        <f>IF(Projecten!A31="","",Projecten!F31)</f>
        <v/>
      </c>
      <c r="D31" s="17" t="str">
        <f>IF(Projecten!A31="","",Projecten!G31)</f>
        <v/>
      </c>
      <c r="E31" s="26" t="str">
        <f>IF(Projecten!A31="","",Projecten!E31)</f>
        <v/>
      </c>
      <c r="F31" s="26" t="str">
        <f t="array" ref="F31">IF(A31="","",IF(MAX((dash_ProjectID=A31)*dash_Geimpliceerde_GSU)=0,"n.v.t.",MAX((dash_ProjectID=A31)*dash_Geimpliceerde_GSU)))</f>
        <v/>
      </c>
      <c r="G31" s="20" t="str">
        <f t="shared" si="0"/>
        <v/>
      </c>
      <c r="H31" s="27" t="str">
        <f t="shared" si="1"/>
        <v/>
      </c>
      <c r="I31" s="17" t="str">
        <f t="shared" si="2"/>
        <v/>
      </c>
      <c r="J31" s="17" t="str">
        <f t="array" ref="J31">IF(OR(A31="",NOT(ISNUMBER(F31))),"",IFERROR(INDEX(dash_Type,MATCH(1,(dash_ProjectID=A31)*(dash_Geimpliceerde_GSU=F31),0)),""))</f>
        <v/>
      </c>
      <c r="K31" s="20" t="str">
        <f t="shared" si="3"/>
        <v/>
      </c>
      <c r="L31" s="20" t="str">
        <f t="shared" si="4"/>
        <v/>
      </c>
    </row>
    <row r="32" spans="1:12" ht="15" customHeight="1" x14ac:dyDescent="0.3">
      <c r="A32" s="17" t="str">
        <f>IF(Projecten!A32="","",Projecten!A32)</f>
        <v/>
      </c>
      <c r="B32" s="17" t="str">
        <f>IF(Projecten!A32="","",Projecten!B32)</f>
        <v/>
      </c>
      <c r="C32" s="17" t="str">
        <f>IF(Projecten!A32="","",Projecten!F32)</f>
        <v/>
      </c>
      <c r="D32" s="17" t="str">
        <f>IF(Projecten!A32="","",Projecten!G32)</f>
        <v/>
      </c>
      <c r="E32" s="26" t="str">
        <f>IF(Projecten!A32="","",Projecten!E32)</f>
        <v/>
      </c>
      <c r="F32" s="26" t="str">
        <f t="array" ref="F32">IF(A32="","",IF(MAX((dash_ProjectID=A32)*dash_Geimpliceerde_GSU)=0,"n.v.t.",MAX((dash_ProjectID=A32)*dash_Geimpliceerde_GSU)))</f>
        <v/>
      </c>
      <c r="G32" s="20" t="str">
        <f t="shared" si="0"/>
        <v/>
      </c>
      <c r="H32" s="27" t="str">
        <f t="shared" si="1"/>
        <v/>
      </c>
      <c r="I32" s="17" t="str">
        <f t="shared" si="2"/>
        <v/>
      </c>
      <c r="J32" s="17" t="str">
        <f t="array" ref="J32">IF(OR(A32="",NOT(ISNUMBER(F32))),"",IFERROR(INDEX(dash_Type,MATCH(1,(dash_ProjectID=A32)*(dash_Geimpliceerde_GSU=F32),0)),""))</f>
        <v/>
      </c>
      <c r="K32" s="20" t="str">
        <f t="shared" si="3"/>
        <v/>
      </c>
      <c r="L32" s="20" t="str">
        <f t="shared" si="4"/>
        <v/>
      </c>
    </row>
    <row r="33" spans="1:12" ht="15" customHeight="1" x14ac:dyDescent="0.3">
      <c r="A33" s="17" t="str">
        <f>IF(Projecten!A33="","",Projecten!A33)</f>
        <v/>
      </c>
      <c r="B33" s="17" t="str">
        <f>IF(Projecten!A33="","",Projecten!B33)</f>
        <v/>
      </c>
      <c r="C33" s="17" t="str">
        <f>IF(Projecten!A33="","",Projecten!F33)</f>
        <v/>
      </c>
      <c r="D33" s="17" t="str">
        <f>IF(Projecten!A33="","",Projecten!G33)</f>
        <v/>
      </c>
      <c r="E33" s="26" t="str">
        <f>IF(Projecten!A33="","",Projecten!E33)</f>
        <v/>
      </c>
      <c r="F33" s="26" t="str">
        <f t="array" ref="F33">IF(A33="","",IF(MAX((dash_ProjectID=A33)*dash_Geimpliceerde_GSU)=0,"n.v.t.",MAX((dash_ProjectID=A33)*dash_Geimpliceerde_GSU)))</f>
        <v/>
      </c>
      <c r="G33" s="20" t="str">
        <f t="shared" si="0"/>
        <v/>
      </c>
      <c r="H33" s="27" t="str">
        <f t="shared" si="1"/>
        <v/>
      </c>
      <c r="I33" s="17" t="str">
        <f t="shared" si="2"/>
        <v/>
      </c>
      <c r="J33" s="17" t="str">
        <f t="array" ref="J33">IF(OR(A33="",NOT(ISNUMBER(F33))),"",IFERROR(INDEX(dash_Type,MATCH(1,(dash_ProjectID=A33)*(dash_Geimpliceerde_GSU=F33),0)),""))</f>
        <v/>
      </c>
      <c r="K33" s="20" t="str">
        <f t="shared" si="3"/>
        <v/>
      </c>
      <c r="L33" s="20" t="str">
        <f t="shared" si="4"/>
        <v/>
      </c>
    </row>
    <row r="34" spans="1:12" ht="15" customHeight="1" x14ac:dyDescent="0.3">
      <c r="A34" s="17" t="str">
        <f>IF(Projecten!A34="","",Projecten!A34)</f>
        <v/>
      </c>
      <c r="B34" s="17" t="str">
        <f>IF(Projecten!A34="","",Projecten!B34)</f>
        <v/>
      </c>
      <c r="C34" s="17" t="str">
        <f>IF(Projecten!A34="","",Projecten!F34)</f>
        <v/>
      </c>
      <c r="D34" s="17" t="str">
        <f>IF(Projecten!A34="","",Projecten!G34)</f>
        <v/>
      </c>
      <c r="E34" s="26" t="str">
        <f>IF(Projecten!A34="","",Projecten!E34)</f>
        <v/>
      </c>
      <c r="F34" s="26" t="str">
        <f t="array" ref="F34">IF(A34="","",IF(MAX((dash_ProjectID=A34)*dash_Geimpliceerde_GSU)=0,"n.v.t.",MAX((dash_ProjectID=A34)*dash_Geimpliceerde_GSU)))</f>
        <v/>
      </c>
      <c r="G34" s="20" t="str">
        <f t="shared" si="0"/>
        <v/>
      </c>
      <c r="H34" s="27" t="str">
        <f t="shared" si="1"/>
        <v/>
      </c>
      <c r="I34" s="17" t="str">
        <f t="shared" si="2"/>
        <v/>
      </c>
      <c r="J34" s="17" t="str">
        <f t="array" ref="J34">IF(OR(A34="",NOT(ISNUMBER(F34))),"",IFERROR(INDEX(dash_Type,MATCH(1,(dash_ProjectID=A34)*(dash_Geimpliceerde_GSU=F34),0)),""))</f>
        <v/>
      </c>
      <c r="K34" s="20" t="str">
        <f t="shared" si="3"/>
        <v/>
      </c>
      <c r="L34" s="20" t="str">
        <f t="shared" si="4"/>
        <v/>
      </c>
    </row>
    <row r="35" spans="1:12" ht="15" customHeight="1" x14ac:dyDescent="0.3">
      <c r="A35" s="17" t="str">
        <f>IF(Projecten!A35="","",Projecten!A35)</f>
        <v/>
      </c>
      <c r="B35" s="17" t="str">
        <f>IF(Projecten!A35="","",Projecten!B35)</f>
        <v/>
      </c>
      <c r="C35" s="17" t="str">
        <f>IF(Projecten!A35="","",Projecten!F35)</f>
        <v/>
      </c>
      <c r="D35" s="17" t="str">
        <f>IF(Projecten!A35="","",Projecten!G35)</f>
        <v/>
      </c>
      <c r="E35" s="26" t="str">
        <f>IF(Projecten!A35="","",Projecten!E35)</f>
        <v/>
      </c>
      <c r="F35" s="26" t="str">
        <f t="array" ref="F35">IF(A35="","",IF(MAX((dash_ProjectID=A35)*dash_Geimpliceerde_GSU)=0,"n.v.t.",MAX((dash_ProjectID=A35)*dash_Geimpliceerde_GSU)))</f>
        <v/>
      </c>
      <c r="G35" s="20" t="str">
        <f t="shared" si="0"/>
        <v/>
      </c>
      <c r="H35" s="27" t="str">
        <f t="shared" si="1"/>
        <v/>
      </c>
      <c r="I35" s="17" t="str">
        <f t="shared" si="2"/>
        <v/>
      </c>
      <c r="J35" s="17" t="str">
        <f t="array" ref="J35">IF(OR(A35="",NOT(ISNUMBER(F35))),"",IFERROR(INDEX(dash_Type,MATCH(1,(dash_ProjectID=A35)*(dash_Geimpliceerde_GSU=F35),0)),""))</f>
        <v/>
      </c>
      <c r="K35" s="20" t="str">
        <f t="shared" si="3"/>
        <v/>
      </c>
      <c r="L35" s="20" t="str">
        <f t="shared" si="4"/>
        <v/>
      </c>
    </row>
    <row r="36" spans="1:12" ht="15" customHeight="1" x14ac:dyDescent="0.3">
      <c r="A36" s="17" t="str">
        <f>IF(Projecten!A36="","",Projecten!A36)</f>
        <v/>
      </c>
      <c r="B36" s="17" t="str">
        <f>IF(Projecten!A36="","",Projecten!B36)</f>
        <v/>
      </c>
      <c r="C36" s="17" t="str">
        <f>IF(Projecten!A36="","",Projecten!F36)</f>
        <v/>
      </c>
      <c r="D36" s="17" t="str">
        <f>IF(Projecten!A36="","",Projecten!G36)</f>
        <v/>
      </c>
      <c r="E36" s="26" t="str">
        <f>IF(Projecten!A36="","",Projecten!E36)</f>
        <v/>
      </c>
      <c r="F36" s="26" t="str">
        <f t="array" ref="F36">IF(A36="","",IF(MAX((dash_ProjectID=A36)*dash_Geimpliceerde_GSU)=0,"n.v.t.",MAX((dash_ProjectID=A36)*dash_Geimpliceerde_GSU)))</f>
        <v/>
      </c>
      <c r="G36" s="20" t="str">
        <f t="shared" si="0"/>
        <v/>
      </c>
      <c r="H36" s="27" t="str">
        <f t="shared" si="1"/>
        <v/>
      </c>
      <c r="I36" s="17" t="str">
        <f t="shared" si="2"/>
        <v/>
      </c>
      <c r="J36" s="17" t="str">
        <f t="array" ref="J36">IF(OR(A36="",NOT(ISNUMBER(F36))),"",IFERROR(INDEX(dash_Type,MATCH(1,(dash_ProjectID=A36)*(dash_Geimpliceerde_GSU=F36),0)),""))</f>
        <v/>
      </c>
      <c r="K36" s="20" t="str">
        <f t="shared" si="3"/>
        <v/>
      </c>
      <c r="L36" s="20" t="str">
        <f t="shared" si="4"/>
        <v/>
      </c>
    </row>
    <row r="37" spans="1:12" ht="15" customHeight="1" x14ac:dyDescent="0.3">
      <c r="A37" s="17" t="str">
        <f>IF(Projecten!A37="","",Projecten!A37)</f>
        <v/>
      </c>
      <c r="B37" s="17" t="str">
        <f>IF(Projecten!A37="","",Projecten!B37)</f>
        <v/>
      </c>
      <c r="C37" s="17" t="str">
        <f>IF(Projecten!A37="","",Projecten!F37)</f>
        <v/>
      </c>
      <c r="D37" s="17" t="str">
        <f>IF(Projecten!A37="","",Projecten!G37)</f>
        <v/>
      </c>
      <c r="E37" s="26" t="str">
        <f>IF(Projecten!A37="","",Projecten!E37)</f>
        <v/>
      </c>
      <c r="F37" s="26" t="str">
        <f t="array" ref="F37">IF(A37="","",IF(MAX((dash_ProjectID=A37)*dash_Geimpliceerde_GSU)=0,"n.v.t.",MAX((dash_ProjectID=A37)*dash_Geimpliceerde_GSU)))</f>
        <v/>
      </c>
      <c r="G37" s="20" t="str">
        <f t="shared" si="0"/>
        <v/>
      </c>
      <c r="H37" s="27" t="str">
        <f t="shared" si="1"/>
        <v/>
      </c>
      <c r="I37" s="17" t="str">
        <f t="shared" si="2"/>
        <v/>
      </c>
      <c r="J37" s="17" t="str">
        <f t="array" ref="J37">IF(OR(A37="",NOT(ISNUMBER(F37))),"",IFERROR(INDEX(dash_Type,MATCH(1,(dash_ProjectID=A37)*(dash_Geimpliceerde_GSU=F37),0)),""))</f>
        <v/>
      </c>
      <c r="K37" s="20" t="str">
        <f t="shared" si="3"/>
        <v/>
      </c>
      <c r="L37" s="20" t="str">
        <f t="shared" si="4"/>
        <v/>
      </c>
    </row>
    <row r="38" spans="1:12" ht="15" customHeight="1" x14ac:dyDescent="0.3">
      <c r="A38" s="17" t="str">
        <f>IF(Projecten!A38="","",Projecten!A38)</f>
        <v/>
      </c>
      <c r="B38" s="17" t="str">
        <f>IF(Projecten!A38="","",Projecten!B38)</f>
        <v/>
      </c>
      <c r="C38" s="17" t="str">
        <f>IF(Projecten!A38="","",Projecten!F38)</f>
        <v/>
      </c>
      <c r="D38" s="17" t="str">
        <f>IF(Projecten!A38="","",Projecten!G38)</f>
        <v/>
      </c>
      <c r="E38" s="26" t="str">
        <f>IF(Projecten!A38="","",Projecten!E38)</f>
        <v/>
      </c>
      <c r="F38" s="26" t="str">
        <f t="array" ref="F38">IF(A38="","",IF(MAX((dash_ProjectID=A38)*dash_Geimpliceerde_GSU)=0,"n.v.t.",MAX((dash_ProjectID=A38)*dash_Geimpliceerde_GSU)))</f>
        <v/>
      </c>
      <c r="G38" s="20" t="str">
        <f t="shared" si="0"/>
        <v/>
      </c>
      <c r="H38" s="27" t="str">
        <f t="shared" si="1"/>
        <v/>
      </c>
      <c r="I38" s="17" t="str">
        <f t="shared" si="2"/>
        <v/>
      </c>
      <c r="J38" s="17" t="str">
        <f t="array" ref="J38">IF(OR(A38="",NOT(ISNUMBER(F38))),"",IFERROR(INDEX(dash_Type,MATCH(1,(dash_ProjectID=A38)*(dash_Geimpliceerde_GSU=F38),0)),""))</f>
        <v/>
      </c>
      <c r="K38" s="20" t="str">
        <f t="shared" si="3"/>
        <v/>
      </c>
      <c r="L38" s="20" t="str">
        <f t="shared" si="4"/>
        <v/>
      </c>
    </row>
    <row r="39" spans="1:12" ht="15" customHeight="1" x14ac:dyDescent="0.3">
      <c r="A39" s="17" t="str">
        <f>IF(Projecten!A39="","",Projecten!A39)</f>
        <v/>
      </c>
      <c r="B39" s="17" t="str">
        <f>IF(Projecten!A39="","",Projecten!B39)</f>
        <v/>
      </c>
      <c r="C39" s="17" t="str">
        <f>IF(Projecten!A39="","",Projecten!F39)</f>
        <v/>
      </c>
      <c r="D39" s="17" t="str">
        <f>IF(Projecten!A39="","",Projecten!G39)</f>
        <v/>
      </c>
      <c r="E39" s="26" t="str">
        <f>IF(Projecten!A39="","",Projecten!E39)</f>
        <v/>
      </c>
      <c r="F39" s="26" t="str">
        <f t="array" ref="F39">IF(A39="","",IF(MAX((dash_ProjectID=A39)*dash_Geimpliceerde_GSU)=0,"n.v.t.",MAX((dash_ProjectID=A39)*dash_Geimpliceerde_GSU)))</f>
        <v/>
      </c>
      <c r="G39" s="20" t="str">
        <f t="shared" si="0"/>
        <v/>
      </c>
      <c r="H39" s="27" t="str">
        <f t="shared" si="1"/>
        <v/>
      </c>
      <c r="I39" s="17" t="str">
        <f t="shared" si="2"/>
        <v/>
      </c>
      <c r="J39" s="17" t="str">
        <f t="array" ref="J39">IF(OR(A39="",NOT(ISNUMBER(F39))),"",IFERROR(INDEX(dash_Type,MATCH(1,(dash_ProjectID=A39)*(dash_Geimpliceerde_GSU=F39),0)),""))</f>
        <v/>
      </c>
      <c r="K39" s="20" t="str">
        <f t="shared" si="3"/>
        <v/>
      </c>
      <c r="L39" s="20" t="str">
        <f t="shared" si="4"/>
        <v/>
      </c>
    </row>
    <row r="40" spans="1:12" ht="15" customHeight="1" x14ac:dyDescent="0.3">
      <c r="A40" s="17" t="str">
        <f>IF(Projecten!A40="","",Projecten!A40)</f>
        <v/>
      </c>
      <c r="B40" s="17" t="str">
        <f>IF(Projecten!A40="","",Projecten!B40)</f>
        <v/>
      </c>
      <c r="C40" s="17" t="str">
        <f>IF(Projecten!A40="","",Projecten!F40)</f>
        <v/>
      </c>
      <c r="D40" s="17" t="str">
        <f>IF(Projecten!A40="","",Projecten!G40)</f>
        <v/>
      </c>
      <c r="E40" s="26" t="str">
        <f>IF(Projecten!A40="","",Projecten!E40)</f>
        <v/>
      </c>
      <c r="F40" s="26" t="str">
        <f t="array" ref="F40">IF(A40="","",IF(MAX((dash_ProjectID=A40)*dash_Geimpliceerde_GSU)=0,"n.v.t.",MAX((dash_ProjectID=A40)*dash_Geimpliceerde_GSU)))</f>
        <v/>
      </c>
      <c r="G40" s="20" t="str">
        <f t="shared" si="0"/>
        <v/>
      </c>
      <c r="H40" s="27" t="str">
        <f t="shared" si="1"/>
        <v/>
      </c>
      <c r="I40" s="17" t="str">
        <f t="shared" si="2"/>
        <v/>
      </c>
      <c r="J40" s="17" t="str">
        <f t="array" ref="J40">IF(OR(A40="",NOT(ISNUMBER(F40))),"",IFERROR(INDEX(dash_Type,MATCH(1,(dash_ProjectID=A40)*(dash_Geimpliceerde_GSU=F40),0)),""))</f>
        <v/>
      </c>
      <c r="K40" s="20" t="str">
        <f t="shared" si="3"/>
        <v/>
      </c>
      <c r="L40" s="20" t="str">
        <f t="shared" si="4"/>
        <v/>
      </c>
    </row>
    <row r="41" spans="1:12" ht="15" customHeight="1" x14ac:dyDescent="0.3">
      <c r="A41" s="17" t="str">
        <f>IF(Projecten!A41="","",Projecten!A41)</f>
        <v/>
      </c>
      <c r="B41" s="17" t="str">
        <f>IF(Projecten!A41="","",Projecten!B41)</f>
        <v/>
      </c>
      <c r="C41" s="17" t="str">
        <f>IF(Projecten!A41="","",Projecten!F41)</f>
        <v/>
      </c>
      <c r="D41" s="17" t="str">
        <f>IF(Projecten!A41="","",Projecten!G41)</f>
        <v/>
      </c>
      <c r="E41" s="26" t="str">
        <f>IF(Projecten!A41="","",Projecten!E41)</f>
        <v/>
      </c>
      <c r="F41" s="26" t="str">
        <f t="array" ref="F41">IF(A41="","",IF(MAX((dash_ProjectID=A41)*dash_Geimpliceerde_GSU)=0,"n.v.t.",MAX((dash_ProjectID=A41)*dash_Geimpliceerde_GSU)))</f>
        <v/>
      </c>
      <c r="G41" s="20" t="str">
        <f t="shared" si="0"/>
        <v/>
      </c>
      <c r="H41" s="27" t="str">
        <f t="shared" si="1"/>
        <v/>
      </c>
      <c r="I41" s="17" t="str">
        <f t="shared" si="2"/>
        <v/>
      </c>
      <c r="J41" s="17" t="str">
        <f t="array" ref="J41">IF(OR(A41="",NOT(ISNUMBER(F41))),"",IFERROR(INDEX(dash_Type,MATCH(1,(dash_ProjectID=A41)*(dash_Geimpliceerde_GSU=F41),0)),""))</f>
        <v/>
      </c>
      <c r="K41" s="20" t="str">
        <f t="shared" si="3"/>
        <v/>
      </c>
      <c r="L41" s="20" t="str">
        <f t="shared" si="4"/>
        <v/>
      </c>
    </row>
    <row r="42" spans="1:12" ht="15" customHeight="1" x14ac:dyDescent="0.3">
      <c r="A42" s="17" t="str">
        <f>IF(Projecten!A42="","",Projecten!A42)</f>
        <v/>
      </c>
      <c r="B42" s="17" t="str">
        <f>IF(Projecten!A42="","",Projecten!B42)</f>
        <v/>
      </c>
      <c r="C42" s="17" t="str">
        <f>IF(Projecten!A42="","",Projecten!F42)</f>
        <v/>
      </c>
      <c r="D42" s="17" t="str">
        <f>IF(Projecten!A42="","",Projecten!G42)</f>
        <v/>
      </c>
      <c r="E42" s="26" t="str">
        <f>IF(Projecten!A42="","",Projecten!E42)</f>
        <v/>
      </c>
      <c r="F42" s="26" t="str">
        <f t="array" ref="F42">IF(A42="","",IF(MAX((dash_ProjectID=A42)*dash_Geimpliceerde_GSU)=0,"n.v.t.",MAX((dash_ProjectID=A42)*dash_Geimpliceerde_GSU)))</f>
        <v/>
      </c>
      <c r="G42" s="20" t="str">
        <f t="shared" si="0"/>
        <v/>
      </c>
      <c r="H42" s="27" t="str">
        <f t="shared" si="1"/>
        <v/>
      </c>
      <c r="I42" s="17" t="str">
        <f t="shared" si="2"/>
        <v/>
      </c>
      <c r="J42" s="17" t="str">
        <f t="array" ref="J42">IF(OR(A42="",NOT(ISNUMBER(F42))),"",IFERROR(INDEX(dash_Type,MATCH(1,(dash_ProjectID=A42)*(dash_Geimpliceerde_GSU=F42),0)),""))</f>
        <v/>
      </c>
      <c r="K42" s="20" t="str">
        <f t="shared" si="3"/>
        <v/>
      </c>
      <c r="L42" s="20" t="str">
        <f t="shared" si="4"/>
        <v/>
      </c>
    </row>
    <row r="43" spans="1:12" ht="15" customHeight="1" x14ac:dyDescent="0.3">
      <c r="A43" s="17" t="str">
        <f>IF(Projecten!A43="","",Projecten!A43)</f>
        <v/>
      </c>
      <c r="B43" s="17" t="str">
        <f>IF(Projecten!A43="","",Projecten!B43)</f>
        <v/>
      </c>
      <c r="C43" s="17" t="str">
        <f>IF(Projecten!A43="","",Projecten!F43)</f>
        <v/>
      </c>
      <c r="D43" s="17" t="str">
        <f>IF(Projecten!A43="","",Projecten!G43)</f>
        <v/>
      </c>
      <c r="E43" s="26" t="str">
        <f>IF(Projecten!A43="","",Projecten!E43)</f>
        <v/>
      </c>
      <c r="F43" s="26" t="str">
        <f t="array" ref="F43">IF(A43="","",IF(MAX((dash_ProjectID=A43)*dash_Geimpliceerde_GSU)=0,"n.v.t.",MAX((dash_ProjectID=A43)*dash_Geimpliceerde_GSU)))</f>
        <v/>
      </c>
      <c r="G43" s="20" t="str">
        <f t="shared" si="0"/>
        <v/>
      </c>
      <c r="H43" s="27" t="str">
        <f t="shared" si="1"/>
        <v/>
      </c>
      <c r="I43" s="17" t="str">
        <f t="shared" si="2"/>
        <v/>
      </c>
      <c r="J43" s="17" t="str">
        <f t="array" ref="J43">IF(OR(A43="",NOT(ISNUMBER(F43))),"",IFERROR(INDEX(dash_Type,MATCH(1,(dash_ProjectID=A43)*(dash_Geimpliceerde_GSU=F43),0)),""))</f>
        <v/>
      </c>
      <c r="K43" s="20" t="str">
        <f t="shared" si="3"/>
        <v/>
      </c>
      <c r="L43" s="20" t="str">
        <f t="shared" si="4"/>
        <v/>
      </c>
    </row>
    <row r="44" spans="1:12" ht="15" customHeight="1" x14ac:dyDescent="0.3">
      <c r="A44" s="17" t="str">
        <f>IF(Projecten!A44="","",Projecten!A44)</f>
        <v/>
      </c>
      <c r="B44" s="17" t="str">
        <f>IF(Projecten!A44="","",Projecten!B44)</f>
        <v/>
      </c>
      <c r="C44" s="17" t="str">
        <f>IF(Projecten!A44="","",Projecten!F44)</f>
        <v/>
      </c>
      <c r="D44" s="17" t="str">
        <f>IF(Projecten!A44="","",Projecten!G44)</f>
        <v/>
      </c>
      <c r="E44" s="26" t="str">
        <f>IF(Projecten!A44="","",Projecten!E44)</f>
        <v/>
      </c>
      <c r="F44" s="26" t="str">
        <f t="array" ref="F44">IF(A44="","",IF(MAX((dash_ProjectID=A44)*dash_Geimpliceerde_GSU)=0,"n.v.t.",MAX((dash_ProjectID=A44)*dash_Geimpliceerde_GSU)))</f>
        <v/>
      </c>
      <c r="G44" s="20" t="str">
        <f t="shared" si="0"/>
        <v/>
      </c>
      <c r="H44" s="27" t="str">
        <f t="shared" si="1"/>
        <v/>
      </c>
      <c r="I44" s="17" t="str">
        <f t="shared" si="2"/>
        <v/>
      </c>
      <c r="J44" s="17" t="str">
        <f t="array" ref="J44">IF(OR(A44="",NOT(ISNUMBER(F44))),"",IFERROR(INDEX(dash_Type,MATCH(1,(dash_ProjectID=A44)*(dash_Geimpliceerde_GSU=F44),0)),""))</f>
        <v/>
      </c>
      <c r="K44" s="20" t="str">
        <f t="shared" si="3"/>
        <v/>
      </c>
      <c r="L44" s="20" t="str">
        <f t="shared" si="4"/>
        <v/>
      </c>
    </row>
    <row r="45" spans="1:12" ht="15" customHeight="1" x14ac:dyDescent="0.3">
      <c r="A45" s="17" t="str">
        <f>IF(Projecten!A45="","",Projecten!A45)</f>
        <v/>
      </c>
      <c r="B45" s="17" t="str">
        <f>IF(Projecten!A45="","",Projecten!B45)</f>
        <v/>
      </c>
      <c r="C45" s="17" t="str">
        <f>IF(Projecten!A45="","",Projecten!F45)</f>
        <v/>
      </c>
      <c r="D45" s="17" t="str">
        <f>IF(Projecten!A45="","",Projecten!G45)</f>
        <v/>
      </c>
      <c r="E45" s="26" t="str">
        <f>IF(Projecten!A45="","",Projecten!E45)</f>
        <v/>
      </c>
      <c r="F45" s="26" t="str">
        <f t="array" ref="F45">IF(A45="","",IF(MAX((dash_ProjectID=A45)*dash_Geimpliceerde_GSU)=0,"n.v.t.",MAX((dash_ProjectID=A45)*dash_Geimpliceerde_GSU)))</f>
        <v/>
      </c>
      <c r="G45" s="20" t="str">
        <f t="shared" si="0"/>
        <v/>
      </c>
      <c r="H45" s="27" t="str">
        <f t="shared" si="1"/>
        <v/>
      </c>
      <c r="I45" s="17" t="str">
        <f t="shared" si="2"/>
        <v/>
      </c>
      <c r="J45" s="17" t="str">
        <f t="array" ref="J45">IF(OR(A45="",NOT(ISNUMBER(F45))),"",IFERROR(INDEX(dash_Type,MATCH(1,(dash_ProjectID=A45)*(dash_Geimpliceerde_GSU=F45),0)),""))</f>
        <v/>
      </c>
      <c r="K45" s="20" t="str">
        <f t="shared" si="3"/>
        <v/>
      </c>
      <c r="L45" s="20" t="str">
        <f t="shared" si="4"/>
        <v/>
      </c>
    </row>
    <row r="46" spans="1:12" ht="15" customHeight="1" x14ac:dyDescent="0.3">
      <c r="A46" s="17" t="str">
        <f>IF(Projecten!A46="","",Projecten!A46)</f>
        <v/>
      </c>
      <c r="B46" s="17" t="str">
        <f>IF(Projecten!A46="","",Projecten!B46)</f>
        <v/>
      </c>
      <c r="C46" s="17" t="str">
        <f>IF(Projecten!A46="","",Projecten!F46)</f>
        <v/>
      </c>
      <c r="D46" s="17" t="str">
        <f>IF(Projecten!A46="","",Projecten!G46)</f>
        <v/>
      </c>
      <c r="E46" s="26" t="str">
        <f>IF(Projecten!A46="","",Projecten!E46)</f>
        <v/>
      </c>
      <c r="F46" s="26" t="str">
        <f t="array" ref="F46">IF(A46="","",IF(MAX((dash_ProjectID=A46)*dash_Geimpliceerde_GSU)=0,"n.v.t.",MAX((dash_ProjectID=A46)*dash_Geimpliceerde_GSU)))</f>
        <v/>
      </c>
      <c r="G46" s="20" t="str">
        <f t="shared" si="0"/>
        <v/>
      </c>
      <c r="H46" s="27" t="str">
        <f t="shared" si="1"/>
        <v/>
      </c>
      <c r="I46" s="17" t="str">
        <f t="shared" si="2"/>
        <v/>
      </c>
      <c r="J46" s="17" t="str">
        <f t="array" ref="J46">IF(OR(A46="",NOT(ISNUMBER(F46))),"",IFERROR(INDEX(dash_Type,MATCH(1,(dash_ProjectID=A46)*(dash_Geimpliceerde_GSU=F46),0)),""))</f>
        <v/>
      </c>
      <c r="K46" s="20" t="str">
        <f t="shared" si="3"/>
        <v/>
      </c>
      <c r="L46" s="20" t="str">
        <f t="shared" si="4"/>
        <v/>
      </c>
    </row>
    <row r="47" spans="1:12" ht="15" customHeight="1" x14ac:dyDescent="0.3">
      <c r="A47" s="17" t="str">
        <f>IF(Projecten!A47="","",Projecten!A47)</f>
        <v/>
      </c>
      <c r="B47" s="17" t="str">
        <f>IF(Projecten!A47="","",Projecten!B47)</f>
        <v/>
      </c>
      <c r="C47" s="17" t="str">
        <f>IF(Projecten!A47="","",Projecten!F47)</f>
        <v/>
      </c>
      <c r="D47" s="17" t="str">
        <f>IF(Projecten!A47="","",Projecten!G47)</f>
        <v/>
      </c>
      <c r="E47" s="26" t="str">
        <f>IF(Projecten!A47="","",Projecten!E47)</f>
        <v/>
      </c>
      <c r="F47" s="26" t="str">
        <f t="array" ref="F47">IF(A47="","",IF(MAX((dash_ProjectID=A47)*dash_Geimpliceerde_GSU)=0,"n.v.t.",MAX((dash_ProjectID=A47)*dash_Geimpliceerde_GSU)))</f>
        <v/>
      </c>
      <c r="G47" s="20" t="str">
        <f t="shared" si="0"/>
        <v/>
      </c>
      <c r="H47" s="27" t="str">
        <f t="shared" si="1"/>
        <v/>
      </c>
      <c r="I47" s="17" t="str">
        <f t="shared" si="2"/>
        <v/>
      </c>
      <c r="J47" s="17" t="str">
        <f t="array" ref="J47">IF(OR(A47="",NOT(ISNUMBER(F47))),"",IFERROR(INDEX(dash_Type,MATCH(1,(dash_ProjectID=A47)*(dash_Geimpliceerde_GSU=F47),0)),""))</f>
        <v/>
      </c>
      <c r="K47" s="20" t="str">
        <f t="shared" si="3"/>
        <v/>
      </c>
      <c r="L47" s="20" t="str">
        <f t="shared" si="4"/>
        <v/>
      </c>
    </row>
    <row r="48" spans="1:12" ht="15" customHeight="1" x14ac:dyDescent="0.3">
      <c r="A48" s="17" t="str">
        <f>IF(Projecten!A48="","",Projecten!A48)</f>
        <v/>
      </c>
      <c r="B48" s="17" t="str">
        <f>IF(Projecten!A48="","",Projecten!B48)</f>
        <v/>
      </c>
      <c r="C48" s="17" t="str">
        <f>IF(Projecten!A48="","",Projecten!F48)</f>
        <v/>
      </c>
      <c r="D48" s="17" t="str">
        <f>IF(Projecten!A48="","",Projecten!G48)</f>
        <v/>
      </c>
      <c r="E48" s="26" t="str">
        <f>IF(Projecten!A48="","",Projecten!E48)</f>
        <v/>
      </c>
      <c r="F48" s="26" t="str">
        <f t="array" ref="F48">IF(A48="","",IF(MAX((dash_ProjectID=A48)*dash_Geimpliceerde_GSU)=0,"n.v.t.",MAX((dash_ProjectID=A48)*dash_Geimpliceerde_GSU)))</f>
        <v/>
      </c>
      <c r="G48" s="20" t="str">
        <f t="shared" si="0"/>
        <v/>
      </c>
      <c r="H48" s="27" t="str">
        <f t="shared" si="1"/>
        <v/>
      </c>
      <c r="I48" s="17" t="str">
        <f t="shared" si="2"/>
        <v/>
      </c>
      <c r="J48" s="17" t="str">
        <f t="array" ref="J48">IF(OR(A48="",NOT(ISNUMBER(F48))),"",IFERROR(INDEX(dash_Type,MATCH(1,(dash_ProjectID=A48)*(dash_Geimpliceerde_GSU=F48),0)),""))</f>
        <v/>
      </c>
      <c r="K48" s="20" t="str">
        <f t="shared" si="3"/>
        <v/>
      </c>
      <c r="L48" s="20" t="str">
        <f t="shared" si="4"/>
        <v/>
      </c>
    </row>
    <row r="49" spans="1:12" ht="15" customHeight="1" x14ac:dyDescent="0.3">
      <c r="A49" s="17" t="str">
        <f>IF(Projecten!A49="","",Projecten!A49)</f>
        <v/>
      </c>
      <c r="B49" s="17" t="str">
        <f>IF(Projecten!A49="","",Projecten!B49)</f>
        <v/>
      </c>
      <c r="C49" s="17" t="str">
        <f>IF(Projecten!A49="","",Projecten!F49)</f>
        <v/>
      </c>
      <c r="D49" s="17" t="str">
        <f>IF(Projecten!A49="","",Projecten!G49)</f>
        <v/>
      </c>
      <c r="E49" s="26" t="str">
        <f>IF(Projecten!A49="","",Projecten!E49)</f>
        <v/>
      </c>
      <c r="F49" s="26" t="str">
        <f t="array" ref="F49">IF(A49="","",IF(MAX((dash_ProjectID=A49)*dash_Geimpliceerde_GSU)=0,"n.v.t.",MAX((dash_ProjectID=A49)*dash_Geimpliceerde_GSU)))</f>
        <v/>
      </c>
      <c r="G49" s="20" t="str">
        <f t="shared" si="0"/>
        <v/>
      </c>
      <c r="H49" s="27" t="str">
        <f t="shared" si="1"/>
        <v/>
      </c>
      <c r="I49" s="17" t="str">
        <f t="shared" si="2"/>
        <v/>
      </c>
      <c r="J49" s="17" t="str">
        <f t="array" ref="J49">IF(OR(A49="",NOT(ISNUMBER(F49))),"",IFERROR(INDEX(dash_Type,MATCH(1,(dash_ProjectID=A49)*(dash_Geimpliceerde_GSU=F49),0)),""))</f>
        <v/>
      </c>
      <c r="K49" s="20" t="str">
        <f t="shared" si="3"/>
        <v/>
      </c>
      <c r="L49" s="20" t="str">
        <f t="shared" si="4"/>
        <v/>
      </c>
    </row>
    <row r="50" spans="1:12" ht="15" customHeight="1" x14ac:dyDescent="0.3">
      <c r="A50" s="17" t="str">
        <f>IF(Projecten!A50="","",Projecten!A50)</f>
        <v/>
      </c>
      <c r="B50" s="17" t="str">
        <f>IF(Projecten!A50="","",Projecten!B50)</f>
        <v/>
      </c>
      <c r="C50" s="17" t="str">
        <f>IF(Projecten!A50="","",Projecten!F50)</f>
        <v/>
      </c>
      <c r="D50" s="17" t="str">
        <f>IF(Projecten!A50="","",Projecten!G50)</f>
        <v/>
      </c>
      <c r="E50" s="26" t="str">
        <f>IF(Projecten!A50="","",Projecten!E50)</f>
        <v/>
      </c>
      <c r="F50" s="26" t="str">
        <f t="array" ref="F50">IF(A50="","",IF(MAX((dash_ProjectID=A50)*dash_Geimpliceerde_GSU)=0,"n.v.t.",MAX((dash_ProjectID=A50)*dash_Geimpliceerde_GSU)))</f>
        <v/>
      </c>
      <c r="G50" s="20" t="str">
        <f t="shared" si="0"/>
        <v/>
      </c>
      <c r="H50" s="27" t="str">
        <f t="shared" si="1"/>
        <v/>
      </c>
      <c r="I50" s="17" t="str">
        <f t="shared" si="2"/>
        <v/>
      </c>
      <c r="J50" s="17" t="str">
        <f t="array" ref="J50">IF(OR(A50="",NOT(ISNUMBER(F50))),"",IFERROR(INDEX(dash_Type,MATCH(1,(dash_ProjectID=A50)*(dash_Geimpliceerde_GSU=F50),0)),""))</f>
        <v/>
      </c>
      <c r="K50" s="20" t="str">
        <f t="shared" si="3"/>
        <v/>
      </c>
      <c r="L50" s="20" t="str">
        <f t="shared" si="4"/>
        <v/>
      </c>
    </row>
  </sheetData>
  <mergeCells count="2">
    <mergeCell ref="A2:L2"/>
    <mergeCell ref="A1:L1"/>
  </mergeCells>
  <conditionalFormatting sqref="F4:F20">
    <cfRule type="expression" dxfId="12" priority="9">
      <formula>AND(ISNUMBER(G4),G4&gt;25)</formula>
    </cfRule>
    <cfRule type="expression" dxfId="11" priority="10">
      <formula>AND(ISNUMBER(G4),G4&gt;0,G4&lt;=25)</formula>
    </cfRule>
    <cfRule type="expression" dxfId="10" priority="11">
      <formula>AND(ISNUMBER(G4),G4&lt;=0)</formula>
    </cfRule>
  </conditionalFormatting>
  <conditionalFormatting sqref="G4:G20">
    <cfRule type="expression" dxfId="9" priority="12">
      <formula>AND(ISNUMBER(G4),G4&gt;25)</formula>
    </cfRule>
    <cfRule type="expression" dxfId="8" priority="13">
      <formula>AND(ISNUMBER(G4),G4&gt;0,G4&lt;=25)</formula>
    </cfRule>
    <cfRule type="expression" dxfId="7" priority="14">
      <formula>AND(ISNUMBER(G4),G4&lt;=0)</formula>
    </cfRule>
  </conditionalFormatting>
  <conditionalFormatting sqref="I4:I20">
    <cfRule type="expression" dxfId="6" priority="6">
      <formula>LEFT(I4,1)="✓"</formula>
    </cfRule>
    <cfRule type="expression" dxfId="5" priority="7">
      <formula>LEFT(I4,2)="⚠"</formula>
    </cfRule>
    <cfRule type="expression" dxfId="4" priority="8">
      <formula>I4="🔴 Slip &gt;5 wk"</formula>
    </cfRule>
  </conditionalFormatting>
  <conditionalFormatting sqref="I4:I50">
    <cfRule type="expression" dxfId="3" priority="2">
      <formula>LEFT(I4,1)="✓"</formula>
    </cfRule>
    <cfRule type="expression" dxfId="2" priority="3">
      <formula>LEFT(I4,1)="⚠"</formula>
    </cfRule>
    <cfRule type="expression" dxfId="1" priority="4">
      <formula>LEFT(I4,1)="🟠"</formula>
    </cfRule>
    <cfRule type="expression" dxfId="0" priority="5">
      <formula>LEFT(I4,1)="🔴"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G21"/>
  <sheetViews>
    <sheetView showGridLines="0" zoomScaleNormal="100" workbookViewId="0">
      <pane ySplit="8" topLeftCell="A9" activePane="bottomLeft" state="frozen"/>
      <selection pane="bottomLeft"/>
    </sheetView>
  </sheetViews>
  <sheetFormatPr defaultColWidth="8.6640625" defaultRowHeight="14.4" x14ac:dyDescent="0.3"/>
  <cols>
    <col min="1" max="1" width="28" customWidth="1"/>
    <col min="2" max="2" width="20" customWidth="1"/>
    <col min="3" max="3" width="18" customWidth="1"/>
    <col min="4" max="4" width="20" customWidth="1"/>
    <col min="5" max="5" width="18" customWidth="1"/>
    <col min="6" max="6" width="14" customWidth="1"/>
    <col min="7" max="7" width="40" customWidth="1"/>
  </cols>
  <sheetData>
    <row r="1" spans="1:7" ht="21.75" customHeight="1" x14ac:dyDescent="0.3">
      <c r="A1" s="63" t="s">
        <v>528</v>
      </c>
      <c r="B1" s="49"/>
      <c r="C1" s="49"/>
      <c r="D1" s="49"/>
      <c r="E1" s="49"/>
      <c r="F1" s="49"/>
      <c r="G1" s="49"/>
    </row>
    <row r="3" spans="1:7" ht="15" customHeight="1" x14ac:dyDescent="0.3">
      <c r="A3" s="28" t="s">
        <v>529</v>
      </c>
      <c r="B3" s="29" t="s">
        <v>530</v>
      </c>
    </row>
    <row r="4" spans="1:7" ht="15" customHeight="1" x14ac:dyDescent="0.3">
      <c r="A4" s="28" t="s">
        <v>531</v>
      </c>
      <c r="B4" s="30" t="str">
        <f>IFERROR(INDEX(tbl_Proj_Naam,MATCH(B3,tbl_Proj_ID,0)),"")</f>
        <v/>
      </c>
    </row>
    <row r="5" spans="1:7" ht="15" customHeight="1" x14ac:dyDescent="0.3">
      <c r="A5" s="28" t="s">
        <v>532</v>
      </c>
      <c r="B5" s="30" t="str">
        <f>IFERROR(INDEX(tbl_Proj_Rt,MATCH(B3,tbl_Proj_ID,0)),"")&amp;" | "&amp;IFERROR(INDEX(tbl_Proj_Vt,MATCH(B3,tbl_Proj_ID,0)),"")</f>
        <v xml:space="preserve"> | </v>
      </c>
    </row>
    <row r="6" spans="1:7" ht="15" customHeight="1" x14ac:dyDescent="0.3">
      <c r="A6" s="28" t="s">
        <v>533</v>
      </c>
      <c r="B6" s="31" t="str">
        <f>IFERROR(INDEX(tbl_Proj_GSU,MATCH(B3,tbl_Proj_ID,0)),"")</f>
        <v/>
      </c>
    </row>
    <row r="8" spans="1:7" ht="25.5" customHeight="1" x14ac:dyDescent="0.3">
      <c r="A8" s="7" t="s">
        <v>534</v>
      </c>
      <c r="B8" s="7" t="s">
        <v>535</v>
      </c>
      <c r="C8" s="7" t="s">
        <v>100</v>
      </c>
      <c r="D8" s="7" t="s">
        <v>425</v>
      </c>
      <c r="E8" s="7" t="s">
        <v>426</v>
      </c>
      <c r="F8" s="7" t="s">
        <v>252</v>
      </c>
      <c r="G8" s="7" t="s">
        <v>536</v>
      </c>
    </row>
    <row r="9" spans="1:7" ht="15" customHeight="1" x14ac:dyDescent="0.3">
      <c r="A9" s="10">
        <v>1</v>
      </c>
      <c r="B9" s="10" t="s">
        <v>537</v>
      </c>
      <c r="C9" s="13" t="s">
        <v>428</v>
      </c>
      <c r="D9" s="32" t="str">
        <f>IFERROR(INDEX(tbl_Offsets_Wkn,MATCH("Init_Einde|"&amp;IFERROR(INDEX(tbl_Proj_Rt,MATCH(B$3,tbl_Proj_ID,0)),"")&amp;"|"&amp;IFERROR(INDEX(tbl_Proj_Vt,MATCH(B$3,tbl_Proj_ID,0)),""),tbl_Offsets_Key,0)),"n.v.t.")</f>
        <v>n.v.t.</v>
      </c>
      <c r="E9" s="32" t="str">
        <f>IFERROR(INDEX(tbl_Offsets_Wd,MATCH("Init_Einde|"&amp;IFERROR(INDEX(tbl_Proj_Rt,MATCH(B$3,tbl_Proj_ID,0)),"")&amp;"|"&amp;IFERROR(INDEX(tbl_Proj_Vt,MATCH(B$3,tbl_Proj_ID,0)),""),tbl_Offsets_Key,0)),"n.v.t.")</f>
        <v>n.v.t.</v>
      </c>
      <c r="F9" s="42" t="str">
        <f t="shared" ref="F9:F20" si="0">IF(OR(B$6="",NOT(ISNUMBER(E9))),"",WORKDAY(B$6,E9))</f>
        <v/>
      </c>
      <c r="G9" s="13"/>
    </row>
    <row r="10" spans="1:7" ht="15" customHeight="1" x14ac:dyDescent="0.3">
      <c r="A10" s="10">
        <v>2</v>
      </c>
      <c r="B10" s="10" t="s">
        <v>538</v>
      </c>
      <c r="C10" s="13" t="s">
        <v>167</v>
      </c>
      <c r="D10" s="32" t="str">
        <f>IFERROR(INDEX(tbl_Offsets_Wkn,MATCH("Warme_Overdracht|"&amp;IFERROR(INDEX(tbl_Proj_Rt,MATCH(B$3,tbl_Proj_ID,0)),"")&amp;"|"&amp;IFERROR(INDEX(tbl_Proj_Vt,MATCH(B$3,tbl_Proj_ID,0)),""),tbl_Offsets_Key,0)),"n.v.t.")</f>
        <v>n.v.t.</v>
      </c>
      <c r="E10" s="32" t="str">
        <f>IFERROR(INDEX(tbl_Offsets_Wd,MATCH("Warme_Overdracht|"&amp;IFERROR(INDEX(tbl_Proj_Rt,MATCH(B$3,tbl_Proj_ID,0)),"")&amp;"|"&amp;IFERROR(INDEX(tbl_Proj_Vt,MATCH(B$3,tbl_Proj_ID,0)),""),tbl_Offsets_Key,0)),"n.v.t.")</f>
        <v>n.v.t.</v>
      </c>
      <c r="F10" s="42" t="str">
        <f t="shared" si="0"/>
        <v/>
      </c>
      <c r="G10" s="13"/>
    </row>
    <row r="11" spans="1:7" ht="15" customHeight="1" x14ac:dyDescent="0.3">
      <c r="A11" s="10">
        <v>3</v>
      </c>
      <c r="B11" s="10" t="s">
        <v>261</v>
      </c>
      <c r="C11" s="13" t="s">
        <v>116</v>
      </c>
      <c r="D11" s="32" t="str">
        <f>IFERROR(INDEX(tbl_Offsets_Wkn,MATCH("VO_Einde|"&amp;IFERROR(INDEX(tbl_Proj_Rt,MATCH(B$3,tbl_Proj_ID,0)),"")&amp;"|"&amp;IFERROR(INDEX(tbl_Proj_Vt,MATCH(B$3,tbl_Proj_ID,0)),""),tbl_Offsets_Key,0)),"n.v.t.")</f>
        <v>n.v.t.</v>
      </c>
      <c r="E11" s="32" t="str">
        <f>IFERROR(INDEX(tbl_Offsets_Wd,MATCH("VO_Einde|"&amp;IFERROR(INDEX(tbl_Proj_Rt,MATCH(B$3,tbl_Proj_ID,0)),"")&amp;"|"&amp;IFERROR(INDEX(tbl_Proj_Vt,MATCH(B$3,tbl_Proj_ID,0)),""),tbl_Offsets_Key,0)),"n.v.t.")</f>
        <v>n.v.t.</v>
      </c>
      <c r="F11" s="42" t="str">
        <f t="shared" si="0"/>
        <v/>
      </c>
      <c r="G11" s="13"/>
    </row>
    <row r="12" spans="1:7" ht="15" customHeight="1" x14ac:dyDescent="0.3">
      <c r="A12" s="10">
        <v>4</v>
      </c>
      <c r="B12" s="10" t="s">
        <v>539</v>
      </c>
      <c r="C12" s="13" t="s">
        <v>178</v>
      </c>
      <c r="D12" s="32" t="str">
        <f>IFERROR(INDEX(tbl_Offsets_Wkn,MATCH("Proefsleuven_Einde|"&amp;IFERROR(INDEX(tbl_Proj_Rt,MATCH(B$3,tbl_Proj_ID,0)),"")&amp;"|"&amp;IFERROR(INDEX(tbl_Proj_Vt,MATCH(B$3,tbl_Proj_ID,0)),""),tbl_Offsets_Key,0)),"n.v.t.")</f>
        <v>n.v.t.</v>
      </c>
      <c r="E12" s="32" t="str">
        <f>IFERROR(INDEX(tbl_Offsets_Wd,MATCH("Proefsleuven_Einde|"&amp;IFERROR(INDEX(tbl_Proj_Rt,MATCH(B$3,tbl_Proj_ID,0)),"")&amp;"|"&amp;IFERROR(INDEX(tbl_Proj_Vt,MATCH(B$3,tbl_Proj_ID,0)),""),tbl_Offsets_Key,0)),"n.v.t.")</f>
        <v>n.v.t.</v>
      </c>
      <c r="F12" s="42" t="str">
        <f t="shared" si="0"/>
        <v/>
      </c>
      <c r="G12" s="13"/>
    </row>
    <row r="13" spans="1:7" ht="15" customHeight="1" x14ac:dyDescent="0.3">
      <c r="A13" s="10">
        <v>5</v>
      </c>
      <c r="B13" s="10" t="s">
        <v>540</v>
      </c>
      <c r="C13" s="13" t="s">
        <v>268</v>
      </c>
      <c r="D13" s="32" t="str">
        <f>IFERROR(INDEX(tbl_Offsets_Wkn,MATCH("DO_Einde|"&amp;IFERROR(INDEX(tbl_Proj_Rt,MATCH(B$3,tbl_Proj_ID,0)),"")&amp;"|"&amp;IFERROR(INDEX(tbl_Proj_Vt,MATCH(B$3,tbl_Proj_ID,0)),""),tbl_Offsets_Key,0)),"n.v.t.")</f>
        <v>n.v.t.</v>
      </c>
      <c r="E13" s="32" t="str">
        <f>IFERROR(INDEX(tbl_Offsets_Wd,MATCH("DO_Einde|"&amp;IFERROR(INDEX(tbl_Proj_Rt,MATCH(B$3,tbl_Proj_ID,0)),"")&amp;"|"&amp;IFERROR(INDEX(tbl_Proj_Vt,MATCH(B$3,tbl_Proj_ID,0)),""),tbl_Offsets_Key,0)),"n.v.t.")</f>
        <v>n.v.t.</v>
      </c>
      <c r="F13" s="42" t="str">
        <f t="shared" si="0"/>
        <v/>
      </c>
      <c r="G13" s="13"/>
    </row>
    <row r="14" spans="1:7" ht="15" customHeight="1" x14ac:dyDescent="0.3">
      <c r="A14" s="10">
        <v>6</v>
      </c>
      <c r="B14" s="10" t="s">
        <v>541</v>
      </c>
      <c r="C14" s="13" t="s">
        <v>275</v>
      </c>
      <c r="D14" s="32" t="str">
        <f>IFERROR(INDEX(tbl_Offsets_Wkn,MATCH("DO_Dossier_Einde|"&amp;IFERROR(INDEX(tbl_Proj_Rt,MATCH(B$3,tbl_Proj_ID,0)),"")&amp;"|"&amp;IFERROR(INDEX(tbl_Proj_Vt,MATCH(B$3,tbl_Proj_ID,0)),""),tbl_Offsets_Key,0)),"n.v.t.")</f>
        <v>n.v.t.</v>
      </c>
      <c r="E14" s="32" t="str">
        <f>IFERROR(INDEX(tbl_Offsets_Wd,MATCH("DO_Dossier_Einde|"&amp;IFERROR(INDEX(tbl_Proj_Rt,MATCH(B$3,tbl_Proj_ID,0)),"")&amp;"|"&amp;IFERROR(INDEX(tbl_Proj_Vt,MATCH(B$3,tbl_Proj_ID,0)),""),tbl_Offsets_Key,0)),"n.v.t.")</f>
        <v>n.v.t.</v>
      </c>
      <c r="F14" s="42" t="str">
        <f t="shared" si="0"/>
        <v/>
      </c>
      <c r="G14" s="13"/>
    </row>
    <row r="15" spans="1:7" ht="15" customHeight="1" x14ac:dyDescent="0.3">
      <c r="A15" s="10">
        <v>7</v>
      </c>
      <c r="B15" s="10" t="s">
        <v>542</v>
      </c>
      <c r="C15" s="13" t="s">
        <v>226</v>
      </c>
      <c r="D15" s="32" t="str">
        <f>IFERROR(INDEX(tbl_Offsets_Wkn,MATCH("Vergunning_Einde|"&amp;IFERROR(INDEX(tbl_Proj_Rt,MATCH(B$3,tbl_Proj_ID,0)),"")&amp;"|"&amp;IFERROR(INDEX(tbl_Proj_Vt,MATCH(B$3,tbl_Proj_ID,0)),""),tbl_Offsets_Key,0)),"n.v.t.")</f>
        <v>n.v.t.</v>
      </c>
      <c r="E15" s="32" t="str">
        <f>IFERROR(INDEX(tbl_Offsets_Wd,MATCH("Vergunning_Einde|"&amp;IFERROR(INDEX(tbl_Proj_Rt,MATCH(B$3,tbl_Proj_ID,0)),"")&amp;"|"&amp;IFERROR(INDEX(tbl_Proj_Vt,MATCH(B$3,tbl_Proj_ID,0)),""),tbl_Offsets_Key,0)),"n.v.t.")</f>
        <v>n.v.t.</v>
      </c>
      <c r="F15" s="42" t="str">
        <f t="shared" si="0"/>
        <v/>
      </c>
      <c r="G15" s="13"/>
    </row>
    <row r="16" spans="1:7" ht="15" customHeight="1" x14ac:dyDescent="0.3">
      <c r="A16" s="10">
        <v>8</v>
      </c>
      <c r="B16" s="10" t="s">
        <v>286</v>
      </c>
      <c r="C16" s="13" t="s">
        <v>287</v>
      </c>
      <c r="D16" s="32" t="str">
        <f>IFERROR(INDEX(tbl_Offsets_Wkn,MATCH("Begroting_Einde|"&amp;IFERROR(INDEX(tbl_Proj_Rt,MATCH(B$3,tbl_Proj_ID,0)),"")&amp;"|"&amp;IFERROR(INDEX(tbl_Proj_Vt,MATCH(B$3,tbl_Proj_ID,0)),""),tbl_Offsets_Key,0)),"n.v.t.")</f>
        <v>n.v.t.</v>
      </c>
      <c r="E16" s="32" t="str">
        <f>IFERROR(INDEX(tbl_Offsets_Wd,MATCH("Begroting_Einde|"&amp;IFERROR(INDEX(tbl_Proj_Rt,MATCH(B$3,tbl_Proj_ID,0)),"")&amp;"|"&amp;IFERROR(INDEX(tbl_Proj_Vt,MATCH(B$3,tbl_Proj_ID,0)),""),tbl_Offsets_Key,0)),"n.v.t.")</f>
        <v>n.v.t.</v>
      </c>
      <c r="F16" s="42" t="str">
        <f t="shared" si="0"/>
        <v/>
      </c>
      <c r="G16" s="13"/>
    </row>
    <row r="17" spans="1:7" ht="15" customHeight="1" x14ac:dyDescent="0.3">
      <c r="A17" s="10">
        <v>9</v>
      </c>
      <c r="B17" s="10" t="s">
        <v>543</v>
      </c>
      <c r="C17" s="13" t="s">
        <v>293</v>
      </c>
      <c r="D17" s="32" t="str">
        <f>IFERROR(INDEX(tbl_Offsets_Wkn,MATCH("Materiaal_Einde|"&amp;IFERROR(INDEX(tbl_Proj_Rt,MATCH(B$3,tbl_Proj_ID,0)),"")&amp;"|"&amp;IFERROR(INDEX(tbl_Proj_Vt,MATCH(B$3,tbl_Proj_ID,0)),""),tbl_Offsets_Key,0)),"n.v.t.")</f>
        <v>n.v.t.</v>
      </c>
      <c r="E17" s="32" t="str">
        <f>IFERROR(INDEX(tbl_Offsets_Wd,MATCH("Materiaal_Einde|"&amp;IFERROR(INDEX(tbl_Proj_Rt,MATCH(B$3,tbl_Proj_ID,0)),"")&amp;"|"&amp;IFERROR(INDEX(tbl_Proj_Vt,MATCH(B$3,tbl_Proj_ID,0)),""),tbl_Offsets_Key,0)),"n.v.t.")</f>
        <v>n.v.t.</v>
      </c>
      <c r="F17" s="42" t="str">
        <f t="shared" si="0"/>
        <v/>
      </c>
      <c r="G17" s="13"/>
    </row>
    <row r="18" spans="1:7" ht="15" customHeight="1" x14ac:dyDescent="0.3">
      <c r="A18" s="10">
        <v>10</v>
      </c>
      <c r="B18" s="10" t="s">
        <v>544</v>
      </c>
      <c r="C18" s="13" t="s">
        <v>299</v>
      </c>
      <c r="D18" s="32" t="str">
        <f>IFERROR(INDEX(tbl_Offsets_Wkn,MATCH("Kickoff_Einde|"&amp;IFERROR(INDEX(tbl_Proj_Rt,MATCH(B$3,tbl_Proj_ID,0)),"")&amp;"|"&amp;IFERROR(INDEX(tbl_Proj_Vt,MATCH(B$3,tbl_Proj_ID,0)),""),tbl_Offsets_Key,0)),"n.v.t.")</f>
        <v>n.v.t.</v>
      </c>
      <c r="E18" s="32" t="str">
        <f>IFERROR(INDEX(tbl_Offsets_Wd,MATCH("Kickoff_Einde|"&amp;IFERROR(INDEX(tbl_Proj_Rt,MATCH(B$3,tbl_Proj_ID,0)),"")&amp;"|"&amp;IFERROR(INDEX(tbl_Proj_Vt,MATCH(B$3,tbl_Proj_ID,0)),""),tbl_Offsets_Key,0)),"n.v.t.")</f>
        <v>n.v.t.</v>
      </c>
      <c r="F18" s="42" t="str">
        <f t="shared" si="0"/>
        <v/>
      </c>
      <c r="G18" s="13"/>
    </row>
    <row r="19" spans="1:7" ht="15" customHeight="1" x14ac:dyDescent="0.3">
      <c r="A19" s="10">
        <v>11</v>
      </c>
      <c r="B19" s="10" t="s">
        <v>545</v>
      </c>
      <c r="C19" s="13" t="s">
        <v>238</v>
      </c>
      <c r="D19" s="32" t="str">
        <f>IFERROR(INDEX(tbl_Offsets_Wkn,MATCH("WVB_Uitv_Start|"&amp;IFERROR(INDEX(tbl_Proj_Rt,MATCH(B$3,tbl_Proj_ID,0)),"")&amp;"|"&amp;IFERROR(INDEX(tbl_Proj_Vt,MATCH(B$3,tbl_Proj_ID,0)),""),tbl_Offsets_Key,0)),"n.v.t.")</f>
        <v>n.v.t.</v>
      </c>
      <c r="E19" s="32" t="str">
        <f>IFERROR(INDEX(tbl_Offsets_Wd,MATCH("WVB_Uitv_Start|"&amp;IFERROR(INDEX(tbl_Proj_Rt,MATCH(B$3,tbl_Proj_ID,0)),"")&amp;"|"&amp;IFERROR(INDEX(tbl_Proj_Vt,MATCH(B$3,tbl_Proj_ID,0)),""),tbl_Offsets_Key,0)),"n.v.t.")</f>
        <v>n.v.t.</v>
      </c>
      <c r="F19" s="42" t="str">
        <f t="shared" si="0"/>
        <v/>
      </c>
      <c r="G19" s="13"/>
    </row>
    <row r="20" spans="1:7" ht="15" customHeight="1" x14ac:dyDescent="0.3">
      <c r="A20" s="10">
        <v>12</v>
      </c>
      <c r="B20" s="10" t="s">
        <v>304</v>
      </c>
      <c r="C20" s="13" t="s">
        <v>305</v>
      </c>
      <c r="D20" s="32" t="str">
        <f>IFERROR(INDEX(tbl_Offsets_Wkn,MATCH("Startwerk_Einde|"&amp;IFERROR(INDEX(tbl_Proj_Rt,MATCH(B$3,tbl_Proj_ID,0)),"")&amp;"|"&amp;IFERROR(INDEX(tbl_Proj_Vt,MATCH(B$3,tbl_Proj_ID,0)),""),tbl_Offsets_Key,0)),"n.v.t.")</f>
        <v>n.v.t.</v>
      </c>
      <c r="E20" s="32" t="str">
        <f>IFERROR(INDEX(tbl_Offsets_Wd,MATCH("Startwerk_Einde|"&amp;IFERROR(INDEX(tbl_Proj_Rt,MATCH(B$3,tbl_Proj_ID,0)),"")&amp;"|"&amp;IFERROR(INDEX(tbl_Proj_Vt,MATCH(B$3,tbl_Proj_ID,0)),""),tbl_Offsets_Key,0)),"n.v.t.")</f>
        <v>n.v.t.</v>
      </c>
      <c r="F20" s="42" t="str">
        <f t="shared" si="0"/>
        <v/>
      </c>
      <c r="G20" s="13"/>
    </row>
    <row r="21" spans="1:7" ht="15" customHeight="1" x14ac:dyDescent="0.3">
      <c r="A21" s="10">
        <v>13</v>
      </c>
      <c r="B21" s="10" t="s">
        <v>546</v>
      </c>
      <c r="C21" s="13" t="s">
        <v>547</v>
      </c>
      <c r="D21" s="32">
        <v>0</v>
      </c>
      <c r="E21" s="32">
        <v>0</v>
      </c>
      <c r="F21" s="42" t="str">
        <f>B6</f>
        <v/>
      </c>
      <c r="G21" s="33" t="s">
        <v>548</v>
      </c>
    </row>
  </sheetData>
  <mergeCells count="1">
    <mergeCell ref="A1:G1"/>
  </mergeCells>
  <dataValidations count="1">
    <dataValidation type="list" allowBlank="1" sqref="B3" xr:uid="{00000000-0002-0000-0900-000000000000}">
      <formula1>tbl_Proj_ID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J29"/>
  <sheetViews>
    <sheetView showGridLines="0" zoomScaleNormal="100" workbookViewId="0">
      <pane ySplit="3" topLeftCell="A4" activePane="bottomLeft" state="frozen"/>
      <selection pane="bottomLeft"/>
    </sheetView>
  </sheetViews>
  <sheetFormatPr defaultColWidth="8.6640625" defaultRowHeight="14.4" x14ac:dyDescent="0.3"/>
  <cols>
    <col min="1" max="1" width="11" customWidth="1"/>
    <col min="2" max="3" width="10" customWidth="1"/>
    <col min="4" max="4" width="18" customWidth="1"/>
    <col min="5" max="5" width="22" customWidth="1"/>
    <col min="6" max="6" width="50" customWidth="1"/>
    <col min="7" max="8" width="26" customWidth="1"/>
    <col min="9" max="9" width="28" customWidth="1"/>
    <col min="10" max="10" width="50" customWidth="1"/>
  </cols>
  <sheetData>
    <row r="1" spans="1:10" ht="21.75" customHeight="1" x14ac:dyDescent="0.3">
      <c r="A1" s="63" t="s">
        <v>549</v>
      </c>
      <c r="B1" s="49"/>
      <c r="C1" s="49"/>
      <c r="D1" s="49"/>
      <c r="E1" s="49"/>
      <c r="F1" s="49"/>
      <c r="G1" s="49"/>
      <c r="H1" s="49"/>
      <c r="I1" s="49"/>
      <c r="J1" s="49"/>
    </row>
    <row r="3" spans="1:10" ht="31.5" customHeight="1" x14ac:dyDescent="0.3">
      <c r="A3" s="7" t="s">
        <v>550</v>
      </c>
      <c r="B3" s="7" t="s">
        <v>551</v>
      </c>
      <c r="C3" s="7" t="s">
        <v>98</v>
      </c>
      <c r="D3" s="7" t="s">
        <v>552</v>
      </c>
      <c r="E3" s="7" t="s">
        <v>553</v>
      </c>
      <c r="F3" s="7" t="s">
        <v>554</v>
      </c>
      <c r="G3" s="7" t="s">
        <v>555</v>
      </c>
      <c r="H3" s="7" t="s">
        <v>556</v>
      </c>
      <c r="I3" s="7" t="s">
        <v>557</v>
      </c>
      <c r="J3" s="7" t="s">
        <v>558</v>
      </c>
    </row>
    <row r="4" spans="1:10" ht="15" customHeight="1" x14ac:dyDescent="0.3">
      <c r="A4" s="34"/>
      <c r="B4" s="34"/>
      <c r="C4" s="34"/>
      <c r="D4" s="34" t="s">
        <v>46</v>
      </c>
      <c r="E4" s="34"/>
      <c r="F4" s="34" t="s">
        <v>559</v>
      </c>
      <c r="G4" s="34"/>
      <c r="H4" s="34"/>
      <c r="I4" s="34"/>
      <c r="J4" s="34"/>
    </row>
    <row r="5" spans="1:10" ht="15" customHeight="1" x14ac:dyDescent="0.3">
      <c r="A5" s="8" t="s">
        <v>560</v>
      </c>
      <c r="B5" s="8" t="s">
        <v>561</v>
      </c>
      <c r="C5" s="8" t="s">
        <v>562</v>
      </c>
      <c r="D5" s="8" t="s">
        <v>46</v>
      </c>
      <c r="E5" s="8" t="s">
        <v>563</v>
      </c>
      <c r="F5" s="8" t="s">
        <v>564</v>
      </c>
      <c r="G5" s="8" t="s">
        <v>565</v>
      </c>
      <c r="H5" s="8" t="s">
        <v>63</v>
      </c>
      <c r="I5" s="8" t="s">
        <v>566</v>
      </c>
      <c r="J5" s="8" t="s">
        <v>567</v>
      </c>
    </row>
    <row r="6" spans="1:10" ht="15" customHeight="1" x14ac:dyDescent="0.3">
      <c r="A6" s="8" t="s">
        <v>568</v>
      </c>
      <c r="B6" s="8" t="s">
        <v>569</v>
      </c>
      <c r="C6" s="8" t="s">
        <v>562</v>
      </c>
      <c r="D6" s="8" t="s">
        <v>46</v>
      </c>
      <c r="E6" s="8" t="s">
        <v>570</v>
      </c>
      <c r="F6" s="8" t="s">
        <v>571</v>
      </c>
      <c r="G6" s="8" t="s">
        <v>572</v>
      </c>
      <c r="H6" s="8" t="s">
        <v>68</v>
      </c>
      <c r="I6" s="8" t="s">
        <v>573</v>
      </c>
      <c r="J6" s="8" t="s">
        <v>574</v>
      </c>
    </row>
    <row r="7" spans="1:10" ht="23.25" customHeight="1" x14ac:dyDescent="0.3">
      <c r="A7" s="8" t="s">
        <v>575</v>
      </c>
      <c r="B7" s="8" t="s">
        <v>576</v>
      </c>
      <c r="C7" s="8" t="s">
        <v>562</v>
      </c>
      <c r="D7" s="8" t="s">
        <v>46</v>
      </c>
      <c r="E7" s="8" t="s">
        <v>577</v>
      </c>
      <c r="F7" s="8" t="s">
        <v>578</v>
      </c>
      <c r="G7" s="8" t="s">
        <v>572</v>
      </c>
      <c r="H7" s="8" t="s">
        <v>579</v>
      </c>
      <c r="I7" s="8" t="s">
        <v>573</v>
      </c>
      <c r="J7" s="8" t="s">
        <v>580</v>
      </c>
    </row>
    <row r="8" spans="1:10" ht="15" customHeight="1" x14ac:dyDescent="0.3">
      <c r="A8" s="34"/>
      <c r="B8" s="34"/>
      <c r="C8" s="34"/>
      <c r="D8" s="34" t="s">
        <v>53</v>
      </c>
      <c r="E8" s="34"/>
      <c r="F8" s="34" t="s">
        <v>581</v>
      </c>
      <c r="G8" s="34"/>
      <c r="H8" s="34"/>
      <c r="I8" s="34"/>
      <c r="J8" s="34"/>
    </row>
    <row r="9" spans="1:10" ht="23.25" customHeight="1" x14ac:dyDescent="0.3">
      <c r="A9" s="8" t="s">
        <v>244</v>
      </c>
      <c r="B9" s="8" t="s">
        <v>582</v>
      </c>
      <c r="C9" s="8" t="s">
        <v>583</v>
      </c>
      <c r="D9" s="8" t="s">
        <v>53</v>
      </c>
      <c r="E9" s="8" t="s">
        <v>584</v>
      </c>
      <c r="F9" s="8" t="s">
        <v>585</v>
      </c>
      <c r="G9" s="8" t="s">
        <v>586</v>
      </c>
      <c r="H9" s="8" t="s">
        <v>68</v>
      </c>
      <c r="I9" s="8" t="s">
        <v>587</v>
      </c>
      <c r="J9" s="8" t="s">
        <v>588</v>
      </c>
    </row>
    <row r="10" spans="1:10" ht="23.25" customHeight="1" x14ac:dyDescent="0.3">
      <c r="A10" s="8" t="s">
        <v>117</v>
      </c>
      <c r="B10" s="8" t="s">
        <v>582</v>
      </c>
      <c r="C10" s="8" t="s">
        <v>583</v>
      </c>
      <c r="D10" s="8" t="s">
        <v>53</v>
      </c>
      <c r="E10" s="8" t="s">
        <v>589</v>
      </c>
      <c r="F10" s="8" t="s">
        <v>590</v>
      </c>
      <c r="G10" s="8" t="s">
        <v>591</v>
      </c>
      <c r="H10" s="8" t="s">
        <v>68</v>
      </c>
      <c r="I10" s="8" t="s">
        <v>573</v>
      </c>
      <c r="J10" s="8" t="s">
        <v>592</v>
      </c>
    </row>
    <row r="11" spans="1:10" ht="23.25" customHeight="1" x14ac:dyDescent="0.3">
      <c r="A11" s="8" t="s">
        <v>593</v>
      </c>
      <c r="B11" s="8" t="s">
        <v>582</v>
      </c>
      <c r="C11" s="8" t="s">
        <v>583</v>
      </c>
      <c r="D11" s="8" t="s">
        <v>53</v>
      </c>
      <c r="E11" s="8" t="s">
        <v>594</v>
      </c>
      <c r="F11" s="8" t="s">
        <v>595</v>
      </c>
      <c r="G11" s="8" t="s">
        <v>596</v>
      </c>
      <c r="H11" s="8" t="s">
        <v>597</v>
      </c>
      <c r="I11" s="8" t="s">
        <v>598</v>
      </c>
      <c r="J11" s="8" t="s">
        <v>599</v>
      </c>
    </row>
    <row r="12" spans="1:10" ht="23.25" customHeight="1" x14ac:dyDescent="0.3">
      <c r="A12" s="8" t="s">
        <v>600</v>
      </c>
      <c r="B12" s="8" t="s">
        <v>582</v>
      </c>
      <c r="C12" s="8" t="s">
        <v>583</v>
      </c>
      <c r="D12" s="8" t="s">
        <v>53</v>
      </c>
      <c r="E12" s="8" t="s">
        <v>260</v>
      </c>
      <c r="F12" s="8" t="s">
        <v>601</v>
      </c>
      <c r="G12" s="8" t="s">
        <v>602</v>
      </c>
      <c r="H12" s="8" t="s">
        <v>68</v>
      </c>
      <c r="I12" s="8" t="s">
        <v>587</v>
      </c>
      <c r="J12" s="8" t="s">
        <v>603</v>
      </c>
    </row>
    <row r="13" spans="1:10" ht="23.25" customHeight="1" x14ac:dyDescent="0.3">
      <c r="A13" s="8" t="s">
        <v>604</v>
      </c>
      <c r="B13" s="8" t="s">
        <v>582</v>
      </c>
      <c r="C13" s="8" t="s">
        <v>583</v>
      </c>
      <c r="D13" s="8" t="s">
        <v>53</v>
      </c>
      <c r="E13" s="8" t="s">
        <v>266</v>
      </c>
      <c r="F13" s="8" t="s">
        <v>605</v>
      </c>
      <c r="G13" s="8" t="s">
        <v>586</v>
      </c>
      <c r="H13" s="8" t="s">
        <v>68</v>
      </c>
      <c r="I13" s="8" t="s">
        <v>573</v>
      </c>
      <c r="J13" s="8" t="s">
        <v>606</v>
      </c>
    </row>
    <row r="14" spans="1:10" ht="23.25" customHeight="1" x14ac:dyDescent="0.3">
      <c r="A14" s="8" t="s">
        <v>607</v>
      </c>
      <c r="B14" s="8" t="s">
        <v>582</v>
      </c>
      <c r="C14" s="8" t="s">
        <v>583</v>
      </c>
      <c r="D14" s="8" t="s">
        <v>53</v>
      </c>
      <c r="E14" s="8" t="s">
        <v>608</v>
      </c>
      <c r="F14" s="8" t="s">
        <v>609</v>
      </c>
      <c r="G14" s="8" t="s">
        <v>610</v>
      </c>
      <c r="H14" s="8" t="s">
        <v>597</v>
      </c>
      <c r="I14" s="8" t="s">
        <v>573</v>
      </c>
      <c r="J14" s="8" t="s">
        <v>611</v>
      </c>
    </row>
    <row r="15" spans="1:10" ht="23.25" customHeight="1" x14ac:dyDescent="0.3">
      <c r="A15" s="8" t="s">
        <v>612</v>
      </c>
      <c r="B15" s="8" t="s">
        <v>613</v>
      </c>
      <c r="C15" s="8" t="s">
        <v>614</v>
      </c>
      <c r="D15" s="8" t="s">
        <v>53</v>
      </c>
      <c r="E15" s="8" t="s">
        <v>615</v>
      </c>
      <c r="F15" s="8" t="s">
        <v>616</v>
      </c>
      <c r="G15" s="8" t="s">
        <v>617</v>
      </c>
      <c r="H15" s="8" t="s">
        <v>68</v>
      </c>
      <c r="I15" s="8" t="s">
        <v>573</v>
      </c>
      <c r="J15" s="8" t="s">
        <v>618</v>
      </c>
    </row>
    <row r="16" spans="1:10" ht="15" customHeight="1" x14ac:dyDescent="0.3">
      <c r="A16" s="8" t="s">
        <v>619</v>
      </c>
      <c r="B16" s="8" t="s">
        <v>613</v>
      </c>
      <c r="C16" s="8" t="s">
        <v>614</v>
      </c>
      <c r="D16" s="8" t="s">
        <v>53</v>
      </c>
      <c r="E16" s="8" t="s">
        <v>620</v>
      </c>
      <c r="F16" s="8" t="s">
        <v>621</v>
      </c>
      <c r="G16" s="8" t="s">
        <v>602</v>
      </c>
      <c r="H16" s="8" t="s">
        <v>622</v>
      </c>
      <c r="I16" s="8" t="s">
        <v>623</v>
      </c>
      <c r="J16" s="8" t="s">
        <v>624</v>
      </c>
    </row>
    <row r="17" spans="1:10" ht="15" customHeight="1" x14ac:dyDescent="0.3">
      <c r="A17" s="8" t="s">
        <v>625</v>
      </c>
      <c r="B17" s="8" t="s">
        <v>613</v>
      </c>
      <c r="C17" s="8" t="s">
        <v>614</v>
      </c>
      <c r="D17" s="8" t="s">
        <v>53</v>
      </c>
      <c r="E17" s="8" t="s">
        <v>626</v>
      </c>
      <c r="F17" s="8" t="s">
        <v>627</v>
      </c>
      <c r="G17" s="8" t="s">
        <v>628</v>
      </c>
      <c r="H17" s="8" t="s">
        <v>622</v>
      </c>
      <c r="I17" s="8" t="s">
        <v>573</v>
      </c>
      <c r="J17" s="8" t="s">
        <v>629</v>
      </c>
    </row>
    <row r="18" spans="1:10" ht="15" customHeight="1" x14ac:dyDescent="0.3">
      <c r="A18" s="8" t="s">
        <v>630</v>
      </c>
      <c r="B18" s="8" t="s">
        <v>613</v>
      </c>
      <c r="C18" s="8" t="s">
        <v>614</v>
      </c>
      <c r="D18" s="8" t="s">
        <v>53</v>
      </c>
      <c r="E18" s="8" t="s">
        <v>631</v>
      </c>
      <c r="F18" s="8" t="s">
        <v>632</v>
      </c>
      <c r="G18" s="8" t="s">
        <v>633</v>
      </c>
      <c r="H18" s="8" t="s">
        <v>622</v>
      </c>
      <c r="I18" s="8" t="s">
        <v>573</v>
      </c>
      <c r="J18" s="8" t="s">
        <v>634</v>
      </c>
    </row>
    <row r="19" spans="1:10" ht="15" customHeight="1" x14ac:dyDescent="0.3">
      <c r="A19" s="8" t="s">
        <v>635</v>
      </c>
      <c r="B19" s="8" t="s">
        <v>613</v>
      </c>
      <c r="C19" s="8" t="s">
        <v>614</v>
      </c>
      <c r="D19" s="8" t="s">
        <v>53</v>
      </c>
      <c r="E19" s="8" t="s">
        <v>636</v>
      </c>
      <c r="F19" s="8" t="s">
        <v>637</v>
      </c>
      <c r="G19" s="8" t="s">
        <v>586</v>
      </c>
      <c r="H19" s="8" t="s">
        <v>622</v>
      </c>
      <c r="I19" s="8" t="s">
        <v>573</v>
      </c>
      <c r="J19" s="8" t="s">
        <v>638</v>
      </c>
    </row>
    <row r="20" spans="1:10" ht="15" customHeight="1" x14ac:dyDescent="0.3">
      <c r="A20" s="8" t="s">
        <v>639</v>
      </c>
      <c r="B20" s="8" t="s">
        <v>613</v>
      </c>
      <c r="C20" s="8" t="s">
        <v>614</v>
      </c>
      <c r="D20" s="8" t="s">
        <v>53</v>
      </c>
      <c r="E20" s="8" t="s">
        <v>640</v>
      </c>
      <c r="F20" s="8" t="s">
        <v>641</v>
      </c>
      <c r="G20" s="8" t="s">
        <v>602</v>
      </c>
      <c r="H20" s="8" t="s">
        <v>622</v>
      </c>
      <c r="I20" s="8" t="s">
        <v>573</v>
      </c>
      <c r="J20" s="8" t="s">
        <v>642</v>
      </c>
    </row>
    <row r="21" spans="1:10" ht="15" customHeight="1" x14ac:dyDescent="0.3">
      <c r="A21" s="34"/>
      <c r="B21" s="34"/>
      <c r="C21" s="34"/>
      <c r="D21" s="34" t="s">
        <v>59</v>
      </c>
      <c r="E21" s="34"/>
      <c r="F21" s="34" t="s">
        <v>643</v>
      </c>
      <c r="G21" s="34"/>
      <c r="H21" s="34"/>
      <c r="I21" s="34"/>
      <c r="J21" s="34"/>
    </row>
    <row r="22" spans="1:10" ht="23.25" customHeight="1" x14ac:dyDescent="0.3">
      <c r="A22" s="8" t="s">
        <v>644</v>
      </c>
      <c r="B22" s="8" t="s">
        <v>645</v>
      </c>
      <c r="C22" s="8" t="s">
        <v>562</v>
      </c>
      <c r="D22" s="8" t="s">
        <v>59</v>
      </c>
      <c r="E22" s="8" t="s">
        <v>646</v>
      </c>
      <c r="F22" s="8" t="s">
        <v>647</v>
      </c>
      <c r="G22" s="8" t="s">
        <v>648</v>
      </c>
      <c r="H22" s="8" t="s">
        <v>68</v>
      </c>
      <c r="I22" s="8" t="s">
        <v>649</v>
      </c>
      <c r="J22" s="8" t="s">
        <v>650</v>
      </c>
    </row>
    <row r="23" spans="1:10" ht="23.25" customHeight="1" x14ac:dyDescent="0.3">
      <c r="A23" s="8" t="s">
        <v>651</v>
      </c>
      <c r="B23" s="8" t="s">
        <v>645</v>
      </c>
      <c r="C23" s="8" t="s">
        <v>562</v>
      </c>
      <c r="D23" s="8" t="s">
        <v>59</v>
      </c>
      <c r="E23" s="8" t="s">
        <v>285</v>
      </c>
      <c r="F23" s="8" t="s">
        <v>652</v>
      </c>
      <c r="G23" s="8" t="s">
        <v>653</v>
      </c>
      <c r="H23" s="8" t="s">
        <v>622</v>
      </c>
      <c r="I23" s="8" t="s">
        <v>623</v>
      </c>
      <c r="J23" s="8" t="s">
        <v>654</v>
      </c>
    </row>
    <row r="24" spans="1:10" ht="15" customHeight="1" x14ac:dyDescent="0.3">
      <c r="A24" s="8" t="s">
        <v>294</v>
      </c>
      <c r="B24" s="8" t="s">
        <v>645</v>
      </c>
      <c r="C24" s="8" t="s">
        <v>562</v>
      </c>
      <c r="D24" s="8" t="s">
        <v>59</v>
      </c>
      <c r="E24" s="8" t="s">
        <v>291</v>
      </c>
      <c r="F24" s="8" t="s">
        <v>655</v>
      </c>
      <c r="G24" s="8" t="s">
        <v>656</v>
      </c>
      <c r="H24" s="8" t="s">
        <v>68</v>
      </c>
      <c r="I24" s="8" t="s">
        <v>657</v>
      </c>
      <c r="J24" s="8" t="s">
        <v>658</v>
      </c>
    </row>
    <row r="25" spans="1:10" ht="23.25" customHeight="1" x14ac:dyDescent="0.3">
      <c r="A25" s="8" t="s">
        <v>659</v>
      </c>
      <c r="B25" s="8" t="s">
        <v>645</v>
      </c>
      <c r="C25" s="8" t="s">
        <v>562</v>
      </c>
      <c r="D25" s="8" t="s">
        <v>59</v>
      </c>
      <c r="E25" s="8" t="s">
        <v>660</v>
      </c>
      <c r="F25" s="8" t="s">
        <v>661</v>
      </c>
      <c r="G25" s="8" t="s">
        <v>662</v>
      </c>
      <c r="H25" s="8" t="s">
        <v>597</v>
      </c>
      <c r="I25" s="8" t="s">
        <v>663</v>
      </c>
      <c r="J25" s="8" t="s">
        <v>664</v>
      </c>
    </row>
    <row r="26" spans="1:10" ht="15" customHeight="1" x14ac:dyDescent="0.3">
      <c r="A26" s="34"/>
      <c r="B26" s="34"/>
      <c r="C26" s="34"/>
      <c r="D26" s="34" t="s">
        <v>64</v>
      </c>
      <c r="E26" s="34"/>
      <c r="F26" s="34" t="s">
        <v>665</v>
      </c>
      <c r="G26" s="34"/>
      <c r="H26" s="34"/>
      <c r="I26" s="34"/>
      <c r="J26" s="34"/>
    </row>
    <row r="27" spans="1:10" ht="23.25" customHeight="1" x14ac:dyDescent="0.3">
      <c r="A27" s="8" t="s">
        <v>666</v>
      </c>
      <c r="B27" s="8" t="s">
        <v>645</v>
      </c>
      <c r="C27" s="8" t="s">
        <v>562</v>
      </c>
      <c r="D27" s="8" t="s">
        <v>64</v>
      </c>
      <c r="E27" s="8" t="s">
        <v>64</v>
      </c>
      <c r="F27" s="8" t="s">
        <v>667</v>
      </c>
      <c r="G27" s="8" t="s">
        <v>668</v>
      </c>
      <c r="H27" s="8" t="s">
        <v>73</v>
      </c>
      <c r="I27" s="8" t="s">
        <v>669</v>
      </c>
      <c r="J27" s="8" t="s">
        <v>670</v>
      </c>
    </row>
    <row r="28" spans="1:10" ht="15" customHeight="1" x14ac:dyDescent="0.3">
      <c r="A28" s="34"/>
      <c r="B28" s="34"/>
      <c r="C28" s="34"/>
      <c r="D28" s="34" t="s">
        <v>69</v>
      </c>
      <c r="E28" s="34"/>
      <c r="F28" s="34" t="s">
        <v>671</v>
      </c>
      <c r="G28" s="34"/>
      <c r="H28" s="34"/>
      <c r="I28" s="34"/>
      <c r="J28" s="34"/>
    </row>
    <row r="29" spans="1:10" ht="23.25" customHeight="1" x14ac:dyDescent="0.3">
      <c r="A29" s="8" t="s">
        <v>672</v>
      </c>
      <c r="B29" s="8" t="s">
        <v>645</v>
      </c>
      <c r="C29" s="8" t="s">
        <v>562</v>
      </c>
      <c r="D29" s="8" t="s">
        <v>69</v>
      </c>
      <c r="E29" s="8" t="s">
        <v>69</v>
      </c>
      <c r="F29" s="8" t="s">
        <v>673</v>
      </c>
      <c r="G29" s="8" t="s">
        <v>674</v>
      </c>
      <c r="H29" s="8" t="s">
        <v>622</v>
      </c>
      <c r="I29" s="8" t="s">
        <v>675</v>
      </c>
      <c r="J29" s="8" t="s">
        <v>676</v>
      </c>
    </row>
  </sheetData>
  <mergeCells count="1">
    <mergeCell ref="A1:J1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C26"/>
  <sheetViews>
    <sheetView zoomScaleNormal="100" workbookViewId="0"/>
  </sheetViews>
  <sheetFormatPr defaultColWidth="8.6640625" defaultRowHeight="14.4" x14ac:dyDescent="0.3"/>
  <cols>
    <col min="1" max="1" width="28" customWidth="1"/>
    <col min="2" max="2" width="60" customWidth="1"/>
    <col min="3" max="3" width="40" customWidth="1"/>
  </cols>
  <sheetData>
    <row r="1" spans="1:3" ht="21.75" customHeight="1" x14ac:dyDescent="0.3">
      <c r="A1" s="63" t="s">
        <v>677</v>
      </c>
      <c r="B1" s="49"/>
      <c r="C1" s="49"/>
    </row>
    <row r="3" spans="1:3" ht="15" customHeight="1" x14ac:dyDescent="0.3">
      <c r="A3" s="3" t="s">
        <v>678</v>
      </c>
      <c r="B3" s="4"/>
    </row>
    <row r="4" spans="1:3" ht="15" customHeight="1" x14ac:dyDescent="0.3">
      <c r="A4" s="1" t="s">
        <v>547</v>
      </c>
      <c r="B4" s="2" t="s">
        <v>679</v>
      </c>
    </row>
    <row r="5" spans="1:3" ht="15" customHeight="1" x14ac:dyDescent="0.3">
      <c r="A5" s="1" t="s">
        <v>42</v>
      </c>
      <c r="B5" s="2" t="s">
        <v>680</v>
      </c>
    </row>
    <row r="6" spans="1:3" ht="15" customHeight="1" x14ac:dyDescent="0.3">
      <c r="A6" s="1" t="s">
        <v>49</v>
      </c>
      <c r="B6" s="2" t="s">
        <v>681</v>
      </c>
    </row>
    <row r="7" spans="1:3" ht="15" customHeight="1" x14ac:dyDescent="0.3">
      <c r="A7" s="1" t="s">
        <v>682</v>
      </c>
      <c r="B7" s="2" t="s">
        <v>683</v>
      </c>
    </row>
    <row r="8" spans="1:3" ht="36" customHeight="1" x14ac:dyDescent="0.3">
      <c r="A8" s="1" t="s">
        <v>684</v>
      </c>
      <c r="B8" s="2" t="s">
        <v>685</v>
      </c>
    </row>
    <row r="9" spans="1:3" ht="15" customHeight="1" x14ac:dyDescent="0.3">
      <c r="A9" s="1"/>
      <c r="B9" s="2"/>
    </row>
    <row r="10" spans="1:3" ht="15" customHeight="1" x14ac:dyDescent="0.3">
      <c r="A10" s="3" t="s">
        <v>686</v>
      </c>
      <c r="B10" s="4"/>
    </row>
    <row r="11" spans="1:3" ht="36" customHeight="1" x14ac:dyDescent="0.3">
      <c r="A11" s="1" t="s">
        <v>687</v>
      </c>
      <c r="B11" s="2" t="s">
        <v>688</v>
      </c>
    </row>
    <row r="12" spans="1:3" ht="36" customHeight="1" x14ac:dyDescent="0.3">
      <c r="A12" s="1" t="s">
        <v>689</v>
      </c>
      <c r="B12" s="2" t="s">
        <v>690</v>
      </c>
    </row>
    <row r="13" spans="1:3" ht="15" customHeight="1" x14ac:dyDescent="0.3">
      <c r="A13" s="1"/>
      <c r="B13" s="2"/>
    </row>
    <row r="14" spans="1:3" ht="15" customHeight="1" x14ac:dyDescent="0.3">
      <c r="A14" s="3" t="s">
        <v>691</v>
      </c>
      <c r="B14" s="4"/>
    </row>
    <row r="15" spans="1:3" ht="36" customHeight="1" x14ac:dyDescent="0.3">
      <c r="A15" s="1" t="s">
        <v>692</v>
      </c>
      <c r="B15" s="2" t="s">
        <v>693</v>
      </c>
    </row>
    <row r="16" spans="1:3" ht="36" customHeight="1" x14ac:dyDescent="0.3">
      <c r="A16" s="1" t="s">
        <v>694</v>
      </c>
      <c r="B16" s="2" t="s">
        <v>695</v>
      </c>
    </row>
    <row r="17" spans="1:2" ht="36" customHeight="1" x14ac:dyDescent="0.3">
      <c r="A17" s="1" t="s">
        <v>696</v>
      </c>
      <c r="B17" s="2" t="s">
        <v>697</v>
      </c>
    </row>
    <row r="18" spans="1:2" ht="36" customHeight="1" x14ac:dyDescent="0.3">
      <c r="A18" s="1" t="s">
        <v>698</v>
      </c>
      <c r="B18" s="2" t="s">
        <v>699</v>
      </c>
    </row>
    <row r="19" spans="1:2" ht="36" customHeight="1" x14ac:dyDescent="0.3">
      <c r="A19" s="1" t="s">
        <v>700</v>
      </c>
      <c r="B19" s="2" t="s">
        <v>701</v>
      </c>
    </row>
    <row r="20" spans="1:2" ht="36" customHeight="1" x14ac:dyDescent="0.3">
      <c r="A20" s="1" t="s">
        <v>702</v>
      </c>
      <c r="B20" s="2" t="s">
        <v>703</v>
      </c>
    </row>
    <row r="21" spans="1:2" ht="15" customHeight="1" x14ac:dyDescent="0.3">
      <c r="A21" s="1"/>
      <c r="B21" s="2"/>
    </row>
    <row r="22" spans="1:2" ht="15" customHeight="1" x14ac:dyDescent="0.3">
      <c r="A22" s="3" t="s">
        <v>704</v>
      </c>
      <c r="B22" s="4"/>
    </row>
    <row r="23" spans="1:2" ht="23.25" customHeight="1" x14ac:dyDescent="0.3">
      <c r="A23" s="1" t="s">
        <v>705</v>
      </c>
      <c r="B23" s="2" t="s">
        <v>706</v>
      </c>
    </row>
    <row r="24" spans="1:2" ht="36" customHeight="1" x14ac:dyDescent="0.3">
      <c r="A24" s="1" t="s">
        <v>707</v>
      </c>
      <c r="B24" s="2" t="s">
        <v>708</v>
      </c>
    </row>
    <row r="25" spans="1:2" ht="36" customHeight="1" x14ac:dyDescent="0.3">
      <c r="A25" s="1" t="s">
        <v>709</v>
      </c>
      <c r="B25" s="2" t="s">
        <v>710</v>
      </c>
    </row>
    <row r="26" spans="1:2" ht="36" customHeight="1" x14ac:dyDescent="0.3">
      <c r="A26" s="1" t="s">
        <v>711</v>
      </c>
      <c r="B26" s="2" t="s">
        <v>712</v>
      </c>
    </row>
  </sheetData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82</vt:i4>
      </vt:variant>
    </vt:vector>
  </HeadingPairs>
  <TitlesOfParts>
    <vt:vector size="94" baseType="lpstr">
      <vt:lpstr>Start_Hier</vt:lpstr>
      <vt:lpstr>_Lijsten</vt:lpstr>
      <vt:lpstr>Normtijden_Config</vt:lpstr>
      <vt:lpstr>_Keuzes</vt:lpstr>
      <vt:lpstr>Route_Variant_Offsets</vt:lpstr>
      <vt:lpstr>Projecten</vt:lpstr>
      <vt:lpstr>Dashboard_Engineer</vt:lpstr>
      <vt:lpstr>Vertragingen_Showstoppers</vt:lpstr>
      <vt:lpstr>Projectoverzicht</vt:lpstr>
      <vt:lpstr>Sleuteldata</vt:lpstr>
      <vt:lpstr>Procesregister</vt:lpstr>
      <vt:lpstr>Help</vt:lpstr>
      <vt:lpstr>dash_Actiepunt</vt:lpstr>
      <vt:lpstr>dash_Buffer_Wd</vt:lpstr>
      <vt:lpstr>dash_Datum_Uitgezet</vt:lpstr>
      <vt:lpstr>dash_Eigenaar</vt:lpstr>
      <vt:lpstr>dash_Geimpliceerde_GSU</vt:lpstr>
      <vt:lpstr>dash_GSU_Datum</vt:lpstr>
      <vt:lpstr>dash_GSU_Kritisch</vt:lpstr>
      <vt:lpstr>dash_Hoofdcategorie</vt:lpstr>
      <vt:lpstr>dash_ItemID</vt:lpstr>
      <vt:lpstr>dash_Norm_Doorlooptijd_Wd</vt:lpstr>
      <vt:lpstr>dash_Oorzaak_Toelichting</vt:lpstr>
      <vt:lpstr>dash_Oorzaakcode</vt:lpstr>
      <vt:lpstr>dash_ProjectID</vt:lpstr>
      <vt:lpstr>dash_Projectnaam</vt:lpstr>
      <vt:lpstr>dash_Resterende_Wd</vt:lpstr>
      <vt:lpstr>dash_Showstopper_Fase</vt:lpstr>
      <vt:lpstr>dash_Showstopper_GSU</vt:lpstr>
      <vt:lpstr>dash_Status</vt:lpstr>
      <vt:lpstr>dash_Stoplicht</vt:lpstr>
      <vt:lpstr>dash_Subcategorie</vt:lpstr>
      <vt:lpstr>dash_Type</vt:lpstr>
      <vt:lpstr>dash_Uiterlijke_Uitzetdatum</vt:lpstr>
      <vt:lpstr>dash_Vereiste_Gereed_Datum</vt:lpstr>
      <vt:lpstr>dash_Verwacht_Gereed_Datum</vt:lpstr>
      <vt:lpstr>lst_Eigenaren</vt:lpstr>
      <vt:lpstr>lst_Fasen</vt:lpstr>
      <vt:lpstr>lst_Hoofdcategorie</vt:lpstr>
      <vt:lpstr>lst_Oorzaken</vt:lpstr>
      <vt:lpstr>lst_Routes</vt:lpstr>
      <vt:lpstr>lst_Status</vt:lpstr>
      <vt:lpstr>lst_Varianten</vt:lpstr>
      <vt:lpstr>Subs_A</vt:lpstr>
      <vt:lpstr>Subs_B</vt:lpstr>
      <vt:lpstr>Subs_C</vt:lpstr>
      <vt:lpstr>Subs_D</vt:lpstr>
      <vt:lpstr>Subs_E</vt:lpstr>
      <vt:lpstr>Subs_F</vt:lpstr>
      <vt:lpstr>Subs_G</vt:lpstr>
      <vt:lpstr>Subs_H</vt:lpstr>
      <vt:lpstr>tbl_Keuzes_HcatCode</vt:lpstr>
      <vt:lpstr>tbl_Keuzes_ItemID</vt:lpstr>
      <vt:lpstr>tbl_Keuzes_Key</vt:lpstr>
      <vt:lpstr>tbl_Keuzes_SubCode</vt:lpstr>
      <vt:lpstr>tbl_Keuzes_SubName</vt:lpstr>
      <vt:lpstr>tbl_Keuzes_Type</vt:lpstr>
      <vt:lpstr>tbl_Norm_ItemID</vt:lpstr>
      <vt:lpstr>tbl_Offsets_Key</vt:lpstr>
      <vt:lpstr>tbl_Offsets_Wd</vt:lpstr>
      <vt:lpstr>tbl_Offsets_Wkn</vt:lpstr>
      <vt:lpstr>tbl_Proj_GSU</vt:lpstr>
      <vt:lpstr>tbl_Proj_ID</vt:lpstr>
      <vt:lpstr>tbl_Proj_Naam</vt:lpstr>
      <vt:lpstr>tbl_Proj_Rt</vt:lpstr>
      <vt:lpstr>tbl_Proj_Vt</vt:lpstr>
      <vt:lpstr>Types_A_Aanvullend</vt:lpstr>
      <vt:lpstr>Types_A_Quickscan</vt:lpstr>
      <vt:lpstr>Types_A_Vervolgonderzoek</vt:lpstr>
      <vt:lpstr>Types_B_Algemeen</vt:lpstr>
      <vt:lpstr>Types_C_Algemeen</vt:lpstr>
      <vt:lpstr>Types_C_Fase_gate</vt:lpstr>
      <vt:lpstr>Types_C_Fase_gate_OidK</vt:lpstr>
      <vt:lpstr>Types_D_Engineering</vt:lpstr>
      <vt:lpstr>Types_D_Haalbaarheid</vt:lpstr>
      <vt:lpstr>Types_D_Plan</vt:lpstr>
      <vt:lpstr>Types_D_Sondering</vt:lpstr>
      <vt:lpstr>Types_D_Vergunning</vt:lpstr>
      <vt:lpstr>Types_E_Algemeen</vt:lpstr>
      <vt:lpstr>Types_F_Algemeen</vt:lpstr>
      <vt:lpstr>Types_G_Datum</vt:lpstr>
      <vt:lpstr>Types_G_Plannen</vt:lpstr>
      <vt:lpstr>Types_G_Verslag</vt:lpstr>
      <vt:lpstr>Types_G_Verwerkt</vt:lpstr>
      <vt:lpstr>Types_H_Begroting</vt:lpstr>
      <vt:lpstr>Types_H_DO</vt:lpstr>
      <vt:lpstr>Types_H_DO_dossier</vt:lpstr>
      <vt:lpstr>Types_H_Kick_off</vt:lpstr>
      <vt:lpstr>Types_H_Materiaal</vt:lpstr>
      <vt:lpstr>Types_H_MBB</vt:lpstr>
      <vt:lpstr>Types_H_Startwerk</vt:lpstr>
      <vt:lpstr>Types_H_Toetsmoment</vt:lpstr>
      <vt:lpstr>Types_H_VO</vt:lpstr>
      <vt:lpstr>Types_H_Warme_overdracht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Gabor Mišić</cp:lastModifiedBy>
  <cp:revision>0</cp:revision>
  <dcterms:created xsi:type="dcterms:W3CDTF">2026-04-20T10:26:12Z</dcterms:created>
  <dcterms:modified xsi:type="dcterms:W3CDTF">2026-04-24T11:09:20Z</dcterms:modified>
  <dc:language>en-US</dc:language>
</cp:coreProperties>
</file>